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olina Roa\Downloads\"/>
    </mc:Choice>
  </mc:AlternateContent>
  <xr:revisionPtr revIDLastSave="0" documentId="8_{D5D2FA43-4CBF-4E8E-8E32-8B3658FE9AFA}" xr6:coauthVersionLast="47" xr6:coauthVersionMax="47" xr10:uidLastSave="{00000000-0000-0000-0000-000000000000}"/>
  <bookViews>
    <workbookView xWindow="-108" yWindow="-108" windowWidth="23256" windowHeight="12456" xr2:uid="{4CE814AB-A5DA-4E46-8F9F-8A1DE2EE5F3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G46" i="1"/>
  <c r="K35" i="1" l="1"/>
  <c r="H35" i="1"/>
  <c r="E35" i="1"/>
  <c r="K40" i="1" l="1"/>
  <c r="H45" i="1"/>
  <c r="E31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1" i="1"/>
  <c r="K42" i="1"/>
  <c r="K43" i="1"/>
  <c r="K44" i="1"/>
  <c r="K45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3" i="1"/>
  <c r="H44" i="1"/>
  <c r="H3" i="1"/>
  <c r="I46" i="1"/>
  <c r="F46" i="1"/>
  <c r="D46" i="1"/>
  <c r="C4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2" i="1"/>
  <c r="E33" i="1"/>
  <c r="E34" i="1"/>
  <c r="E36" i="1"/>
  <c r="E37" i="1"/>
  <c r="E38" i="1"/>
  <c r="E39" i="1"/>
  <c r="E40" i="1"/>
  <c r="E41" i="1"/>
  <c r="E42" i="1"/>
  <c r="E43" i="1"/>
  <c r="E44" i="1"/>
  <c r="E45" i="1"/>
  <c r="E3" i="1"/>
  <c r="E46" i="1" l="1"/>
  <c r="K46" i="1"/>
  <c r="H46" i="1"/>
</calcChain>
</file>

<file path=xl/sharedStrings.xml><?xml version="1.0" encoding="utf-8"?>
<sst xmlns="http://schemas.openxmlformats.org/spreadsheetml/2006/main" count="145" uniqueCount="112">
  <si>
    <t>Horas Soporte Merpes</t>
  </si>
  <si>
    <t>Horas Soporte Zoftinium</t>
  </si>
  <si>
    <t>Piezas diseño</t>
  </si>
  <si>
    <t>Correos</t>
  </si>
  <si>
    <t>Cliente</t>
  </si>
  <si>
    <t>Campaña / Área</t>
  </si>
  <si>
    <t>Asignadas</t>
  </si>
  <si>
    <t>Consumidas</t>
  </si>
  <si>
    <t>Disponibles</t>
  </si>
  <si>
    <t>Apex CO</t>
  </si>
  <si>
    <t>Fuerza Apex</t>
  </si>
  <si>
    <t>Apex MX</t>
  </si>
  <si>
    <t>Ganadores Apex</t>
  </si>
  <si>
    <t>Beiersdorf CO</t>
  </si>
  <si>
    <t>Socios Sin Limites</t>
  </si>
  <si>
    <t>Black &amp; Decker CO</t>
  </si>
  <si>
    <t>Industrias imparables</t>
  </si>
  <si>
    <t>Yellow Force</t>
  </si>
  <si>
    <t>Coca Cola CO</t>
  </si>
  <si>
    <t>Sin límites</t>
  </si>
  <si>
    <t>Coca Cola CR</t>
  </si>
  <si>
    <t>Coca Cola GU</t>
  </si>
  <si>
    <t>Juntos +</t>
  </si>
  <si>
    <t>Premia juntos +</t>
  </si>
  <si>
    <t>Coca Cola PA</t>
  </si>
  <si>
    <t>Plan Fren</t>
  </si>
  <si>
    <t>Diageo CA</t>
  </si>
  <si>
    <t>Legado de visionarios</t>
  </si>
  <si>
    <t>Diageo CO</t>
  </si>
  <si>
    <t>Legado de ganadores</t>
  </si>
  <si>
    <t>Diageo CR</t>
  </si>
  <si>
    <t>Dream Team</t>
  </si>
  <si>
    <t>Diversey CO</t>
  </si>
  <si>
    <t>Juntos más fuertes</t>
  </si>
  <si>
    <t>Dos Pinos CR</t>
  </si>
  <si>
    <t>Liga de campeones</t>
  </si>
  <si>
    <t>Gases del oriente CO</t>
  </si>
  <si>
    <t>Brilla en tu corazón</t>
  </si>
  <si>
    <t>Gloria CO</t>
  </si>
  <si>
    <t>La liga que sabe a Gloria</t>
  </si>
  <si>
    <t>Grupo Diana CO</t>
  </si>
  <si>
    <t>Creyentes Diana</t>
  </si>
  <si>
    <t>Impocali CO</t>
  </si>
  <si>
    <t>Redes de fidelización</t>
  </si>
  <si>
    <t>Juan Valdez CO</t>
  </si>
  <si>
    <t>Exhibe y gana</t>
  </si>
  <si>
    <t>Kimberly Clark CO</t>
  </si>
  <si>
    <t>Titanes</t>
  </si>
  <si>
    <t>Kimberly Clark PE</t>
  </si>
  <si>
    <t>Escuadrón farma</t>
  </si>
  <si>
    <t>Mabe CO</t>
  </si>
  <si>
    <t>Titanes Mabe HE</t>
  </si>
  <si>
    <t>Mabe EC</t>
  </si>
  <si>
    <t>Titanes Mabe</t>
  </si>
  <si>
    <t>Mabe PE</t>
  </si>
  <si>
    <t>Newell CO</t>
  </si>
  <si>
    <t>La venta de oro</t>
  </si>
  <si>
    <t>Opella CO</t>
  </si>
  <si>
    <t>Valientes de corazón</t>
  </si>
  <si>
    <t>Papeles Nacionales</t>
  </si>
  <si>
    <t>Jugada Maestra</t>
  </si>
  <si>
    <t>Reckitt CO</t>
  </si>
  <si>
    <t>Don Rebueno</t>
  </si>
  <si>
    <t>Softys CO</t>
  </si>
  <si>
    <t>Heroes Élite</t>
  </si>
  <si>
    <t>Splenda CO</t>
  </si>
  <si>
    <t>Copa mundial Splendida</t>
  </si>
  <si>
    <t>Team Foods CO</t>
  </si>
  <si>
    <t>La fuerza aliada</t>
  </si>
  <si>
    <t>Valvoline CO</t>
  </si>
  <si>
    <t>Vanti CO</t>
  </si>
  <si>
    <t>Full Servicio</t>
  </si>
  <si>
    <t>Wavin Pavco CO</t>
  </si>
  <si>
    <t>Wavin Pavco Recargados</t>
  </si>
  <si>
    <t>Bavaria CO</t>
  </si>
  <si>
    <t>Invencibles</t>
  </si>
  <si>
    <t>Visionarios</t>
  </si>
  <si>
    <t>Casa Luker CO</t>
  </si>
  <si>
    <t>Guerreros de la casa</t>
  </si>
  <si>
    <t>Terpel CO</t>
  </si>
  <si>
    <t>Lubricantes</t>
  </si>
  <si>
    <t>Vive Pits</t>
  </si>
  <si>
    <t>TOTAL</t>
  </si>
  <si>
    <t>a.sosa@grupomerpes.com; asistentecomercial16@grupomerpes.com; c.calderon@grupomerpes.com</t>
  </si>
  <si>
    <t>v.zamudio@grupomerpes.com; j.corrales@grupomerpes.com</t>
  </si>
  <si>
    <t>l.castro@grupomerpes.com; c.calderon@grupomerpes.com; asistentecomercial13@grupomerpes.com</t>
  </si>
  <si>
    <t>ks.gualdron@grupomerpes.com; asistentecomercial10@grupomerpes.com; l.castaneda@grupomerpes.com</t>
  </si>
  <si>
    <t>c.calderon@grupomerpes.com; v.zamudio@grupomerpes.com</t>
  </si>
  <si>
    <t>e.munoz@grupomerpes.com; w.valbuena@grupomerpes.com; asistentecomercial23@grupomerpes.com</t>
  </si>
  <si>
    <t>c.bejarano@grupomerpes.com; l.castaneda@grupomerpes.com</t>
  </si>
  <si>
    <t>ejecutivo.b2b@grupomerpes.com.pe; ejecutivo.fidelizacion@grupomerpes.com.pe</t>
  </si>
  <si>
    <t>i.garcia@grupomerpes.com; asistentecomercial6@grupomerpes.com; w.valbuena@grupomerpes.com</t>
  </si>
  <si>
    <t>ejecutivo.b2b@grupomerpes.com.pe; w.valbuena@grupomerpes.com</t>
  </si>
  <si>
    <t>c.calderon@grupomerpes.com;p.moreno@grupomerpes.com; asistentecomercial16@grupomerpes.com</t>
  </si>
  <si>
    <t>j.moreno@grupomerpes.com; d.grisales@grupomerpes.com</t>
  </si>
  <si>
    <t>j.triana@grupomerpes.com; d.grisales@grupomerpes.com</t>
  </si>
  <si>
    <t>Vanti amigos GNV</t>
  </si>
  <si>
    <t>Kof United</t>
  </si>
  <si>
    <t>Super Ricas CO</t>
  </si>
  <si>
    <t>Suma y gana</t>
  </si>
  <si>
    <t>FEBRERO</t>
  </si>
  <si>
    <t>k.molina@grupomerpes.com;l.castaneda@grupomerpes.com</t>
  </si>
  <si>
    <t>c.bejarano@grupomerpes.com; l.castaneda@grupomerpes.com; asistentecomercial7@grupomerpes.com</t>
  </si>
  <si>
    <t>k.molina@grupomerpes.com; l.castaneda@grupomerpes.com; asistentecomercial1@grupomerpes.com</t>
  </si>
  <si>
    <t>ks.gualdron@grupomerpes.com; asistentecomercial11@grupomerpes.com; l.castaneda@grupomerpes.com</t>
  </si>
  <si>
    <t>m.zamudio@grupomerpes.com; asistentecomercial3@grupomerpes.com; w.valbuena@grupomerpes.com</t>
  </si>
  <si>
    <t>l.gomez@grupomerpes.com; asistentecomercial22@grupomerpes.com; w.valbuena@grupomerpes.com</t>
  </si>
  <si>
    <t>comercialcr@grupomerpes.com; operacionescr@grupomerpes.com; servicioalclientecr2@grupomerpes.com</t>
  </si>
  <si>
    <t>a.sosa@grupomerpes.com; asistentecomercial19@grupomerpes.com; c.calderon@grupomerpes.com</t>
  </si>
  <si>
    <t>i.garcia@grupomerpes.com; j.corrales@grupomerpes.com</t>
  </si>
  <si>
    <t>j.corrales@grupomerpes.com; comercialgt@grupomerpes.com;operaciones.gt@grupomerpes.com;</t>
  </si>
  <si>
    <t>j.corrales@grupomerpes.com; comercialgt@grupomerpes.com;operaciones.gt@grupomerpes.com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</si>
</sst>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 Light"/>
      <family val="2"/>
    </font>
    <font>
      <sz val="11"/>
      <name val="Calibri Light"/>
      <family val="2"/>
    </font>
    <font>
      <b/>
      <sz val="11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 Light"/>
      <family val="2"/>
    </font>
    <font>
      <u/>
      <sz val="11"/>
      <color rgb="FF46788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5" fillId="0" borderId="0" xfId="1"/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9" borderId="6" xfId="1" applyFill="1" applyBorder="1" applyAlignment="1">
      <alignment readingOrder="1"/>
    </xf>
    <xf numFmtId="0" fontId="5" fillId="0" borderId="6" xfId="1" applyBorder="1" applyAlignment="1">
      <alignment readingOrder="1"/>
    </xf>
    <xf numFmtId="0" fontId="5" fillId="0" borderId="6" xfId="1" applyBorder="1"/>
    <xf numFmtId="0" fontId="5" fillId="9" borderId="7" xfId="1" applyFill="1" applyBorder="1" applyAlignment="1">
      <alignment readingOrder="1"/>
    </xf>
    <xf numFmtId="0" fontId="5" fillId="9" borderId="8" xfId="1" applyFill="1" applyBorder="1" applyAlignment="1">
      <alignment readingOrder="1"/>
    </xf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s.gualdron@grupomerpes.com;%20asistentecomercial11@grupomerpes.com;%20l.castaneda@grupomerpes.com" TargetMode="External"/><Relationship Id="rId13" Type="http://schemas.openxmlformats.org/officeDocument/2006/relationships/hyperlink" Target="mailto:j.triana@grupomerpes.com;%20d.grisales@grupomerpes.com" TargetMode="External"/><Relationship Id="rId18" Type="http://schemas.openxmlformats.org/officeDocument/2006/relationships/hyperlink" Target="mailto:k.molina@grupomerpes.com;%20l.castaneda@grupomerpes.com;%20asistentecomercial1@grupomerpes.com" TargetMode="External"/><Relationship Id="rId3" Type="http://schemas.openxmlformats.org/officeDocument/2006/relationships/hyperlink" Target="mailto:l.castro@grupomerpes.com;%20c.calderon@grupomerpes.com;%20asistentecomercial13@grupomerpes.com" TargetMode="External"/><Relationship Id="rId21" Type="http://schemas.openxmlformats.org/officeDocument/2006/relationships/hyperlink" Target="mailto:j.triana@grupomerpes.com;%20d.grisales@grupomerpes.com" TargetMode="External"/><Relationship Id="rId7" Type="http://schemas.openxmlformats.org/officeDocument/2006/relationships/hyperlink" Target="mailto:e.munoz@grupomerpes.com;%20w.valbuena@grupomerpes.com;%20asistentecomercial23@grupomerpes.com" TargetMode="External"/><Relationship Id="rId12" Type="http://schemas.openxmlformats.org/officeDocument/2006/relationships/hyperlink" Target="mailto:ejecutivo.b2b@grupomerpes.com.pe;%20w.valbuena@grupomerpes.com" TargetMode="External"/><Relationship Id="rId17" Type="http://schemas.openxmlformats.org/officeDocument/2006/relationships/hyperlink" Target="mailto:comercialcr@grupomerpes.com;%20operacionescr@grupomerpes.com;%20servicioalclientecr2@grupomerpes.com" TargetMode="External"/><Relationship Id="rId2" Type="http://schemas.openxmlformats.org/officeDocument/2006/relationships/hyperlink" Target="mailto:k.molina@grupomerpes.com;l.castaneda@grupomerpes.com" TargetMode="External"/><Relationship Id="rId16" Type="http://schemas.openxmlformats.org/officeDocument/2006/relationships/hyperlink" Target="mailto:a.sosa@grupomerpes.com;%20asistentecomercial19@grupomerpes.com;%20c.calderon@grupomerpes.com" TargetMode="External"/><Relationship Id="rId20" Type="http://schemas.openxmlformats.org/officeDocument/2006/relationships/hyperlink" Target="mailto:j.triana@grupomerpes.com;%20d.grisales@grupomerpes.com" TargetMode="External"/><Relationship Id="rId1" Type="http://schemas.openxmlformats.org/officeDocument/2006/relationships/hyperlink" Target="mailto:desarrolloweb@grupomerpes.com;d.web1@grupomerpes.com" TargetMode="External"/><Relationship Id="rId6" Type="http://schemas.openxmlformats.org/officeDocument/2006/relationships/hyperlink" Target="mailto:c.bejarano@grupomerpes.com;%20l.castaneda@grupomerpes.com;%20asistentecomercial7@grupomerpes.com" TargetMode="External"/><Relationship Id="rId11" Type="http://schemas.openxmlformats.org/officeDocument/2006/relationships/hyperlink" Target="mailto:l.gomez@grupomerpes.com;%20asistentecomercial22@grupomerpes.com;%20w.valbuena@grupomerpes.com" TargetMode="External"/><Relationship Id="rId5" Type="http://schemas.openxmlformats.org/officeDocument/2006/relationships/hyperlink" Target="mailto:k.molina@grupomerpes.com;%20l.castaneda@grupomerpes.com;%20asistentecomercial1@grupomerpes.com" TargetMode="External"/><Relationship Id="rId15" Type="http://schemas.openxmlformats.org/officeDocument/2006/relationships/hyperlink" Target="mailto:comercialcr@grupomerpes.com;%20operacionescr@grupomerpes.com;%20servicioalclientecr2@grupomerpes.com" TargetMode="External"/><Relationship Id="rId10" Type="http://schemas.openxmlformats.org/officeDocument/2006/relationships/hyperlink" Target="mailto:m.zamudio@grupomerpes.com;%20asistentecomercial3@grupomerpes.com;%20w.valbuena@grupomerpes.com" TargetMode="External"/><Relationship Id="rId19" Type="http://schemas.openxmlformats.org/officeDocument/2006/relationships/hyperlink" Target="mailto:e.munoz@grupomerpes.com;%20w.valbuena@grupomerpes.com;%20asistentecomercial23@grupomerpes.com" TargetMode="External"/><Relationship Id="rId4" Type="http://schemas.openxmlformats.org/officeDocument/2006/relationships/hyperlink" Target="mailto:c.bejarano@grupomerpes.com;%20l.castaneda@grupomerpes.com;%20asistentecomercial7@grupomerpes.com" TargetMode="External"/><Relationship Id="rId9" Type="http://schemas.openxmlformats.org/officeDocument/2006/relationships/hyperlink" Target="mailto:m.zamudio@grupomerpes.com;%20asistentecomercial3@grupomerpes.com;%20w.valbuena@grupomerpes.com" TargetMode="External"/><Relationship Id="rId14" Type="http://schemas.openxmlformats.org/officeDocument/2006/relationships/hyperlink" Target="mailto:i.garcia@grupomerpes.com;%20asistentecomercial6@grupomerpes.com;%20w.valbuena@grupomerp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959B-608A-4897-ABDC-AE81B68A9DCE}">
  <dimension ref="A1:L46"/>
  <sheetViews>
    <sheetView tabSelected="1" workbookViewId="0">
      <pane xSplit="2" ySplit="2" topLeftCell="G23" activePane="bottomRight" state="frozen"/>
      <selection pane="topRight" activeCell="C1" sqref="C1"/>
      <selection pane="bottomLeft" activeCell="A3" sqref="A3"/>
      <selection pane="bottomRight" activeCell="L23" sqref="L23"/>
    </sheetView>
  </sheetViews>
  <sheetFormatPr baseColWidth="10" defaultColWidth="11.44140625" defaultRowHeight="14.4" x14ac:dyDescent="0.3"/>
  <cols>
    <col min="1" max="1" width="17.6640625" bestFit="1" customWidth="1"/>
    <col min="2" max="2" width="20.6640625" bestFit="1" customWidth="1"/>
    <col min="3" max="8" width="13.33203125" customWidth="1"/>
    <col min="12" max="12" width="83.88671875" customWidth="1"/>
  </cols>
  <sheetData>
    <row r="1" spans="1:12" x14ac:dyDescent="0.3">
      <c r="A1" s="16" t="s">
        <v>100</v>
      </c>
      <c r="B1" s="17"/>
      <c r="C1" s="13" t="s">
        <v>0</v>
      </c>
      <c r="D1" s="14"/>
      <c r="E1" s="14"/>
      <c r="F1" s="15" t="s">
        <v>1</v>
      </c>
      <c r="G1" s="15"/>
      <c r="H1" s="15"/>
      <c r="I1" s="12" t="s">
        <v>2</v>
      </c>
      <c r="J1" s="12"/>
      <c r="K1" s="12"/>
      <c r="L1" t="s">
        <v>3</v>
      </c>
    </row>
    <row r="2" spans="1:12" x14ac:dyDescent="0.3">
      <c r="A2" s="4" t="s">
        <v>4</v>
      </c>
      <c r="B2" s="4" t="s">
        <v>5</v>
      </c>
      <c r="C2" s="3" t="s">
        <v>6</v>
      </c>
      <c r="D2" s="2" t="s">
        <v>7</v>
      </c>
      <c r="E2" s="1" t="s">
        <v>8</v>
      </c>
      <c r="F2" s="3" t="s">
        <v>6</v>
      </c>
      <c r="G2" s="2" t="s">
        <v>7</v>
      </c>
      <c r="H2" s="1" t="s">
        <v>8</v>
      </c>
      <c r="I2" s="3" t="s">
        <v>6</v>
      </c>
      <c r="J2" s="2" t="s">
        <v>7</v>
      </c>
      <c r="K2" s="1" t="s">
        <v>8</v>
      </c>
    </row>
    <row r="3" spans="1:12" x14ac:dyDescent="0.3">
      <c r="A3" s="5" t="s">
        <v>9</v>
      </c>
      <c r="B3" s="5" t="s">
        <v>10</v>
      </c>
      <c r="C3" s="7">
        <v>10</v>
      </c>
      <c r="D3" s="7">
        <v>1.1000000000000001</v>
      </c>
      <c r="E3" s="8">
        <f>C3-D3</f>
        <v>8.9</v>
      </c>
      <c r="F3" s="7">
        <v>3</v>
      </c>
      <c r="G3" s="7">
        <v>1.45</v>
      </c>
      <c r="H3" s="8">
        <f>F3-G3</f>
        <v>1.55</v>
      </c>
      <c r="I3" s="7">
        <v>14</v>
      </c>
      <c r="J3" s="7">
        <v>0</v>
      </c>
      <c r="K3" s="8">
        <f>I3-J3</f>
        <v>14</v>
      </c>
      <c r="L3" s="9" t="s">
        <v>83</v>
      </c>
    </row>
    <row r="4" spans="1:12" x14ac:dyDescent="0.3">
      <c r="A4" s="5" t="s">
        <v>11</v>
      </c>
      <c r="B4" s="5" t="s">
        <v>12</v>
      </c>
      <c r="C4" s="7">
        <v>6</v>
      </c>
      <c r="D4" s="7">
        <v>1.4</v>
      </c>
      <c r="E4" s="8">
        <f t="shared" ref="E4:E45" si="0">C4-D4</f>
        <v>4.5999999999999996</v>
      </c>
      <c r="F4" s="7">
        <v>3</v>
      </c>
      <c r="G4" s="7">
        <v>1.7</v>
      </c>
      <c r="H4" s="8">
        <f t="shared" ref="H4:H45" si="1">F4-G4</f>
        <v>1.3</v>
      </c>
      <c r="I4" s="7">
        <v>14</v>
      </c>
      <c r="J4" s="7">
        <v>3</v>
      </c>
      <c r="K4" s="8">
        <f t="shared" ref="K4:K45" si="2">I4-J4</f>
        <v>11</v>
      </c>
      <c r="L4" s="10" t="s">
        <v>109</v>
      </c>
    </row>
    <row r="5" spans="1:12" x14ac:dyDescent="0.3">
      <c r="A5" s="5" t="s">
        <v>13</v>
      </c>
      <c r="B5" s="5" t="s">
        <v>14</v>
      </c>
      <c r="C5" s="7">
        <v>3</v>
      </c>
      <c r="D5" s="7">
        <v>0</v>
      </c>
      <c r="E5" s="8">
        <f t="shared" si="0"/>
        <v>3</v>
      </c>
      <c r="F5" s="7">
        <v>2</v>
      </c>
      <c r="G5" s="7">
        <v>0</v>
      </c>
      <c r="H5" s="8">
        <f t="shared" si="1"/>
        <v>2</v>
      </c>
      <c r="I5" s="7">
        <v>10</v>
      </c>
      <c r="J5" s="7">
        <v>9</v>
      </c>
      <c r="K5" s="8">
        <f t="shared" si="2"/>
        <v>1</v>
      </c>
      <c r="L5" s="19" t="s">
        <v>103</v>
      </c>
    </row>
    <row r="6" spans="1:12" x14ac:dyDescent="0.3">
      <c r="A6" s="5" t="s">
        <v>15</v>
      </c>
      <c r="B6" s="5" t="s">
        <v>16</v>
      </c>
      <c r="C6" s="7">
        <v>5</v>
      </c>
      <c r="D6" s="7">
        <v>1.1000000000000001</v>
      </c>
      <c r="E6" s="8">
        <f t="shared" si="0"/>
        <v>3.9</v>
      </c>
      <c r="F6" s="7">
        <v>3</v>
      </c>
      <c r="G6" s="7">
        <v>1.2</v>
      </c>
      <c r="H6" s="8">
        <f t="shared" si="1"/>
        <v>1.8</v>
      </c>
      <c r="I6" s="7">
        <v>3</v>
      </c>
      <c r="J6" s="7">
        <v>0</v>
      </c>
      <c r="K6" s="8">
        <f t="shared" si="2"/>
        <v>3</v>
      </c>
      <c r="L6" s="10" t="s">
        <v>83</v>
      </c>
    </row>
    <row r="7" spans="1:12" x14ac:dyDescent="0.3">
      <c r="A7" s="5" t="s">
        <v>15</v>
      </c>
      <c r="B7" s="5" t="s">
        <v>17</v>
      </c>
      <c r="C7" s="7">
        <v>6</v>
      </c>
      <c r="D7" s="7">
        <v>1.2</v>
      </c>
      <c r="E7" s="8">
        <f t="shared" si="0"/>
        <v>4.8</v>
      </c>
      <c r="F7" s="7">
        <v>3</v>
      </c>
      <c r="G7" s="7">
        <v>0.5</v>
      </c>
      <c r="H7" s="8">
        <f t="shared" si="1"/>
        <v>2.5</v>
      </c>
      <c r="I7" s="7">
        <v>6</v>
      </c>
      <c r="J7" s="7">
        <v>0</v>
      </c>
      <c r="K7" s="8">
        <f t="shared" si="2"/>
        <v>6</v>
      </c>
      <c r="L7" s="10" t="s">
        <v>83</v>
      </c>
    </row>
    <row r="8" spans="1:12" x14ac:dyDescent="0.3">
      <c r="A8" s="5" t="s">
        <v>18</v>
      </c>
      <c r="B8" s="5" t="s">
        <v>19</v>
      </c>
      <c r="C8" s="7">
        <v>8</v>
      </c>
      <c r="D8" s="7">
        <v>9.5</v>
      </c>
      <c r="E8" s="8">
        <f t="shared" si="0"/>
        <v>-1.5</v>
      </c>
      <c r="F8" s="7">
        <v>4</v>
      </c>
      <c r="G8" s="7">
        <v>16.25</v>
      </c>
      <c r="H8" s="8">
        <f t="shared" si="1"/>
        <v>-12.25</v>
      </c>
      <c r="I8" s="7">
        <v>8</v>
      </c>
      <c r="J8" s="7">
        <v>8</v>
      </c>
      <c r="K8" s="8">
        <f t="shared" si="2"/>
        <v>0</v>
      </c>
      <c r="L8" s="10" t="s">
        <v>85</v>
      </c>
    </row>
    <row r="9" spans="1:12" x14ac:dyDescent="0.3">
      <c r="A9" s="5" t="s">
        <v>20</v>
      </c>
      <c r="B9" s="5" t="s">
        <v>97</v>
      </c>
      <c r="C9" s="7">
        <v>7</v>
      </c>
      <c r="D9" s="7">
        <v>0</v>
      </c>
      <c r="E9" s="8">
        <f t="shared" si="0"/>
        <v>7</v>
      </c>
      <c r="F9" s="7">
        <v>3</v>
      </c>
      <c r="G9" s="7">
        <v>0</v>
      </c>
      <c r="H9" s="8">
        <f t="shared" si="1"/>
        <v>3</v>
      </c>
      <c r="I9" s="7">
        <v>15</v>
      </c>
      <c r="J9" s="7">
        <v>0</v>
      </c>
      <c r="K9" s="8">
        <f t="shared" si="2"/>
        <v>15</v>
      </c>
      <c r="L9" s="23" t="s">
        <v>107</v>
      </c>
    </row>
    <row r="10" spans="1:12" x14ac:dyDescent="0.3">
      <c r="A10" s="5" t="s">
        <v>21</v>
      </c>
      <c r="B10" s="5" t="s">
        <v>22</v>
      </c>
      <c r="C10" s="7">
        <v>2</v>
      </c>
      <c r="D10" s="7">
        <v>0</v>
      </c>
      <c r="E10" s="8">
        <f t="shared" si="0"/>
        <v>2</v>
      </c>
      <c r="F10" s="7">
        <v>4</v>
      </c>
      <c r="G10" s="7">
        <v>0</v>
      </c>
      <c r="H10" s="8">
        <f t="shared" si="1"/>
        <v>4</v>
      </c>
      <c r="I10" s="7">
        <v>0</v>
      </c>
      <c r="J10" s="7">
        <v>0</v>
      </c>
      <c r="K10" s="8">
        <f t="shared" si="2"/>
        <v>0</v>
      </c>
      <c r="L10" s="10" t="s">
        <v>110</v>
      </c>
    </row>
    <row r="11" spans="1:12" x14ac:dyDescent="0.3">
      <c r="A11" s="5" t="s">
        <v>21</v>
      </c>
      <c r="B11" s="5" t="s">
        <v>23</v>
      </c>
      <c r="C11" s="7">
        <v>25</v>
      </c>
      <c r="D11" s="7">
        <v>5.9</v>
      </c>
      <c r="E11" s="8">
        <f t="shared" si="0"/>
        <v>19.100000000000001</v>
      </c>
      <c r="F11" s="7">
        <v>10</v>
      </c>
      <c r="G11" s="7">
        <v>7.95</v>
      </c>
      <c r="H11" s="8">
        <f t="shared" si="1"/>
        <v>2.0499999999999998</v>
      </c>
      <c r="I11" s="7">
        <v>31</v>
      </c>
      <c r="J11" s="7">
        <v>7</v>
      </c>
      <c r="K11" s="8">
        <f t="shared" si="2"/>
        <v>24</v>
      </c>
      <c r="L11" s="10" t="s">
        <v>111</v>
      </c>
    </row>
    <row r="12" spans="1:12" x14ac:dyDescent="0.3">
      <c r="A12" s="5" t="s">
        <v>24</v>
      </c>
      <c r="B12" s="5" t="s">
        <v>25</v>
      </c>
      <c r="C12" s="7">
        <v>15</v>
      </c>
      <c r="D12" s="7">
        <v>6.4</v>
      </c>
      <c r="E12" s="8">
        <f t="shared" si="0"/>
        <v>8.6</v>
      </c>
      <c r="F12" s="7">
        <v>6</v>
      </c>
      <c r="G12" s="7">
        <v>5</v>
      </c>
      <c r="H12" s="8">
        <f t="shared" si="1"/>
        <v>1</v>
      </c>
      <c r="I12" s="7">
        <v>8</v>
      </c>
      <c r="J12" s="7">
        <v>0</v>
      </c>
      <c r="K12" s="8">
        <f t="shared" si="2"/>
        <v>8</v>
      </c>
      <c r="L12" s="21" t="s">
        <v>88</v>
      </c>
    </row>
    <row r="13" spans="1:12" x14ac:dyDescent="0.3">
      <c r="A13" s="5" t="s">
        <v>26</v>
      </c>
      <c r="B13" s="5" t="s">
        <v>27</v>
      </c>
      <c r="C13" s="7">
        <v>8</v>
      </c>
      <c r="D13" s="7">
        <v>0</v>
      </c>
      <c r="E13" s="8">
        <f t="shared" si="0"/>
        <v>8</v>
      </c>
      <c r="F13" s="7">
        <v>3</v>
      </c>
      <c r="G13" s="7">
        <v>0</v>
      </c>
      <c r="H13" s="8">
        <f t="shared" si="1"/>
        <v>3</v>
      </c>
      <c r="I13" s="7">
        <v>12</v>
      </c>
      <c r="J13" s="7">
        <v>7</v>
      </c>
      <c r="K13" s="8">
        <f t="shared" si="2"/>
        <v>5</v>
      </c>
      <c r="L13" s="6" t="s">
        <v>84</v>
      </c>
    </row>
    <row r="14" spans="1:12" x14ac:dyDescent="0.3">
      <c r="A14" s="5" t="s">
        <v>28</v>
      </c>
      <c r="B14" s="5" t="s">
        <v>29</v>
      </c>
      <c r="C14" s="7">
        <v>10</v>
      </c>
      <c r="D14" s="7">
        <v>2.4</v>
      </c>
      <c r="E14" s="8">
        <f t="shared" si="0"/>
        <v>7.6</v>
      </c>
      <c r="F14" s="7">
        <v>5</v>
      </c>
      <c r="G14" s="7">
        <v>1.8</v>
      </c>
      <c r="H14" s="8">
        <f t="shared" si="1"/>
        <v>3.2</v>
      </c>
      <c r="I14" s="7">
        <v>14</v>
      </c>
      <c r="J14" s="7">
        <v>7</v>
      </c>
      <c r="K14" s="8">
        <f t="shared" si="2"/>
        <v>7</v>
      </c>
      <c r="L14" s="10" t="s">
        <v>86</v>
      </c>
    </row>
    <row r="15" spans="1:12" x14ac:dyDescent="0.3">
      <c r="A15" s="5" t="s">
        <v>30</v>
      </c>
      <c r="B15" s="5" t="s">
        <v>31</v>
      </c>
      <c r="C15" s="7">
        <v>3</v>
      </c>
      <c r="D15" s="7">
        <v>0</v>
      </c>
      <c r="E15" s="8">
        <f t="shared" si="0"/>
        <v>3</v>
      </c>
      <c r="F15" s="7">
        <v>2</v>
      </c>
      <c r="G15" s="7">
        <v>0</v>
      </c>
      <c r="H15" s="8">
        <f t="shared" si="1"/>
        <v>2</v>
      </c>
      <c r="I15" s="7">
        <v>0</v>
      </c>
      <c r="J15" s="7">
        <v>0</v>
      </c>
      <c r="K15" s="8">
        <f t="shared" si="2"/>
        <v>0</v>
      </c>
      <c r="L15" s="10" t="s">
        <v>109</v>
      </c>
    </row>
    <row r="16" spans="1:12" x14ac:dyDescent="0.3">
      <c r="A16" s="5" t="s">
        <v>32</v>
      </c>
      <c r="B16" s="5" t="s">
        <v>33</v>
      </c>
      <c r="C16" s="7">
        <v>3</v>
      </c>
      <c r="D16" s="7">
        <v>0</v>
      </c>
      <c r="E16" s="8">
        <f t="shared" si="0"/>
        <v>3</v>
      </c>
      <c r="F16" s="7">
        <v>3</v>
      </c>
      <c r="G16" s="7">
        <v>0</v>
      </c>
      <c r="H16" s="8">
        <f t="shared" si="1"/>
        <v>3</v>
      </c>
      <c r="I16" s="7">
        <v>6</v>
      </c>
      <c r="J16" s="7">
        <v>0</v>
      </c>
      <c r="K16" s="8">
        <f t="shared" si="2"/>
        <v>6</v>
      </c>
      <c r="L16" s="10" t="s">
        <v>87</v>
      </c>
    </row>
    <row r="17" spans="1:12" x14ac:dyDescent="0.3">
      <c r="A17" s="5" t="s">
        <v>34</v>
      </c>
      <c r="B17" s="5" t="s">
        <v>35</v>
      </c>
      <c r="C17" s="7">
        <v>10</v>
      </c>
      <c r="D17" s="7">
        <v>0</v>
      </c>
      <c r="E17" s="8">
        <f t="shared" si="0"/>
        <v>10</v>
      </c>
      <c r="F17" s="7">
        <v>4</v>
      </c>
      <c r="G17" s="7">
        <v>0.5</v>
      </c>
      <c r="H17" s="8">
        <f t="shared" si="1"/>
        <v>3.5</v>
      </c>
      <c r="I17" s="7">
        <v>15</v>
      </c>
      <c r="J17" s="7">
        <v>4</v>
      </c>
      <c r="K17" s="8">
        <f t="shared" si="2"/>
        <v>11</v>
      </c>
      <c r="L17" s="23" t="s">
        <v>107</v>
      </c>
    </row>
    <row r="18" spans="1:12" x14ac:dyDescent="0.3">
      <c r="A18" s="5" t="s">
        <v>36</v>
      </c>
      <c r="B18" s="5" t="s">
        <v>37</v>
      </c>
      <c r="C18" s="7">
        <v>8</v>
      </c>
      <c r="D18" s="7">
        <v>2.1</v>
      </c>
      <c r="E18" s="8">
        <f t="shared" si="0"/>
        <v>5.9</v>
      </c>
      <c r="F18" s="7">
        <v>5</v>
      </c>
      <c r="G18" s="7">
        <v>0.8</v>
      </c>
      <c r="H18" s="8">
        <f t="shared" si="1"/>
        <v>4.2</v>
      </c>
      <c r="I18" s="7">
        <v>10</v>
      </c>
      <c r="J18" s="7">
        <v>6</v>
      </c>
      <c r="K18" s="8">
        <f t="shared" si="2"/>
        <v>4</v>
      </c>
      <c r="L18" s="10" t="s">
        <v>87</v>
      </c>
    </row>
    <row r="19" spans="1:12" x14ac:dyDescent="0.3">
      <c r="A19" s="5" t="s">
        <v>38</v>
      </c>
      <c r="B19" s="5" t="s">
        <v>39</v>
      </c>
      <c r="C19" s="7">
        <v>15</v>
      </c>
      <c r="D19" s="7">
        <v>2.5</v>
      </c>
      <c r="E19" s="8">
        <f t="shared" si="0"/>
        <v>12.5</v>
      </c>
      <c r="F19" s="7">
        <v>5</v>
      </c>
      <c r="G19" s="7">
        <v>2.1</v>
      </c>
      <c r="H19" s="8">
        <f t="shared" si="1"/>
        <v>2.9</v>
      </c>
      <c r="I19" s="7">
        <v>20</v>
      </c>
      <c r="J19" s="7">
        <v>0</v>
      </c>
      <c r="K19" s="8">
        <f t="shared" si="2"/>
        <v>20</v>
      </c>
      <c r="L19" s="10" t="s">
        <v>88</v>
      </c>
    </row>
    <row r="20" spans="1:12" x14ac:dyDescent="0.3">
      <c r="A20" s="5" t="s">
        <v>40</v>
      </c>
      <c r="B20" s="5" t="s">
        <v>41</v>
      </c>
      <c r="C20" s="7">
        <v>8</v>
      </c>
      <c r="D20" s="7">
        <v>2.8</v>
      </c>
      <c r="E20" s="8">
        <f t="shared" si="0"/>
        <v>5.2</v>
      </c>
      <c r="F20" s="7">
        <v>4</v>
      </c>
      <c r="G20" s="7">
        <v>0</v>
      </c>
      <c r="H20" s="8">
        <f t="shared" si="1"/>
        <v>4</v>
      </c>
      <c r="I20" s="7">
        <v>7</v>
      </c>
      <c r="J20" s="7">
        <v>0</v>
      </c>
      <c r="K20" s="8">
        <f t="shared" si="2"/>
        <v>7</v>
      </c>
      <c r="L20" s="21" t="s">
        <v>88</v>
      </c>
    </row>
    <row r="21" spans="1:12" x14ac:dyDescent="0.3">
      <c r="A21" s="5" t="s">
        <v>42</v>
      </c>
      <c r="B21" s="5" t="s">
        <v>43</v>
      </c>
      <c r="C21" s="7">
        <v>8</v>
      </c>
      <c r="D21" s="7">
        <v>5</v>
      </c>
      <c r="E21" s="8">
        <f t="shared" si="0"/>
        <v>3</v>
      </c>
      <c r="F21" s="7">
        <v>4</v>
      </c>
      <c r="G21" s="7">
        <v>0.6</v>
      </c>
      <c r="H21" s="8">
        <f t="shared" si="1"/>
        <v>3.4</v>
      </c>
      <c r="I21" s="7">
        <v>8</v>
      </c>
      <c r="J21" s="7">
        <v>7</v>
      </c>
      <c r="K21" s="8">
        <f t="shared" si="2"/>
        <v>1</v>
      </c>
      <c r="L21" s="10" t="s">
        <v>83</v>
      </c>
    </row>
    <row r="22" spans="1:12" x14ac:dyDescent="0.3">
      <c r="A22" s="5" t="s">
        <v>44</v>
      </c>
      <c r="B22" s="5" t="s">
        <v>45</v>
      </c>
      <c r="C22" s="7">
        <v>8</v>
      </c>
      <c r="D22" s="7">
        <v>2</v>
      </c>
      <c r="E22" s="8">
        <f t="shared" si="0"/>
        <v>6</v>
      </c>
      <c r="F22" s="7">
        <v>3</v>
      </c>
      <c r="G22" s="7">
        <v>0</v>
      </c>
      <c r="H22" s="8">
        <f t="shared" si="1"/>
        <v>3</v>
      </c>
      <c r="I22" s="7">
        <v>0</v>
      </c>
      <c r="J22" s="7">
        <v>0</v>
      </c>
      <c r="K22" s="8">
        <f t="shared" si="2"/>
        <v>0</v>
      </c>
      <c r="L22" s="20" t="s">
        <v>85</v>
      </c>
    </row>
    <row r="23" spans="1:12" x14ac:dyDescent="0.3">
      <c r="A23" s="5" t="s">
        <v>46</v>
      </c>
      <c r="B23" s="5" t="s">
        <v>47</v>
      </c>
      <c r="C23" s="7">
        <v>6</v>
      </c>
      <c r="D23" s="7">
        <v>0</v>
      </c>
      <c r="E23" s="8">
        <f t="shared" si="0"/>
        <v>6</v>
      </c>
      <c r="F23" s="7">
        <v>4</v>
      </c>
      <c r="G23" s="7">
        <v>0</v>
      </c>
      <c r="H23" s="8">
        <f t="shared" si="1"/>
        <v>4</v>
      </c>
      <c r="I23" s="7">
        <v>8</v>
      </c>
      <c r="J23" s="7">
        <v>4</v>
      </c>
      <c r="K23" s="8">
        <f t="shared" si="2"/>
        <v>4</v>
      </c>
      <c r="L23" s="21" t="s">
        <v>102</v>
      </c>
    </row>
    <row r="24" spans="1:12" x14ac:dyDescent="0.3">
      <c r="A24" s="5" t="s">
        <v>48</v>
      </c>
      <c r="B24" s="5" t="s">
        <v>49</v>
      </c>
      <c r="C24" s="7">
        <v>2</v>
      </c>
      <c r="D24" s="7">
        <v>0</v>
      </c>
      <c r="E24" s="8">
        <f t="shared" si="0"/>
        <v>2</v>
      </c>
      <c r="F24" s="7">
        <v>2</v>
      </c>
      <c r="G24" s="7">
        <v>0</v>
      </c>
      <c r="H24" s="8">
        <f t="shared" si="1"/>
        <v>2</v>
      </c>
      <c r="I24" s="7">
        <v>7</v>
      </c>
      <c r="J24" s="7">
        <v>0</v>
      </c>
      <c r="K24" s="8">
        <f t="shared" si="2"/>
        <v>7</v>
      </c>
      <c r="L24" s="10" t="s">
        <v>90</v>
      </c>
    </row>
    <row r="25" spans="1:12" x14ac:dyDescent="0.3">
      <c r="A25" s="5" t="s">
        <v>50</v>
      </c>
      <c r="B25" s="5" t="s">
        <v>53</v>
      </c>
      <c r="C25" s="7">
        <v>15</v>
      </c>
      <c r="D25" s="7">
        <v>5</v>
      </c>
      <c r="E25" s="8">
        <f t="shared" si="0"/>
        <v>10</v>
      </c>
      <c r="F25" s="7">
        <v>4</v>
      </c>
      <c r="G25" s="7">
        <v>5.2</v>
      </c>
      <c r="H25" s="8">
        <f t="shared" si="1"/>
        <v>-1.2000000000000002</v>
      </c>
      <c r="I25" s="7">
        <v>0</v>
      </c>
      <c r="J25" s="7">
        <v>0</v>
      </c>
      <c r="K25" s="8">
        <f t="shared" si="2"/>
        <v>0</v>
      </c>
      <c r="L25" s="19" t="s">
        <v>105</v>
      </c>
    </row>
    <row r="26" spans="1:12" x14ac:dyDescent="0.3">
      <c r="A26" s="5" t="s">
        <v>50</v>
      </c>
      <c r="B26" s="5" t="s">
        <v>51</v>
      </c>
      <c r="C26" s="7">
        <v>10</v>
      </c>
      <c r="D26" s="7">
        <v>0</v>
      </c>
      <c r="E26" s="8">
        <f t="shared" si="0"/>
        <v>10</v>
      </c>
      <c r="F26" s="7">
        <v>4</v>
      </c>
      <c r="G26" s="7">
        <v>0.8</v>
      </c>
      <c r="H26" s="8">
        <f t="shared" si="1"/>
        <v>3.2</v>
      </c>
      <c r="I26" s="7">
        <v>0</v>
      </c>
      <c r="J26" s="7">
        <v>0</v>
      </c>
      <c r="K26" s="8">
        <f t="shared" si="2"/>
        <v>0</v>
      </c>
      <c r="L26" s="19" t="s">
        <v>105</v>
      </c>
    </row>
    <row r="27" spans="1:12" x14ac:dyDescent="0.3">
      <c r="A27" s="5" t="s">
        <v>52</v>
      </c>
      <c r="B27" s="5" t="s">
        <v>53</v>
      </c>
      <c r="C27" s="7">
        <v>15</v>
      </c>
      <c r="D27" s="7">
        <v>1.1000000000000001</v>
      </c>
      <c r="E27" s="8">
        <f t="shared" si="0"/>
        <v>13.9</v>
      </c>
      <c r="F27" s="7">
        <v>4</v>
      </c>
      <c r="G27" s="7">
        <v>0</v>
      </c>
      <c r="H27" s="8">
        <f t="shared" si="1"/>
        <v>4</v>
      </c>
      <c r="I27" s="7">
        <v>0</v>
      </c>
      <c r="J27" s="7">
        <v>0</v>
      </c>
      <c r="K27" s="8">
        <f t="shared" si="2"/>
        <v>0</v>
      </c>
      <c r="L27" s="19" t="s">
        <v>106</v>
      </c>
    </row>
    <row r="28" spans="1:12" x14ac:dyDescent="0.3">
      <c r="A28" s="5" t="s">
        <v>54</v>
      </c>
      <c r="B28" s="5" t="s">
        <v>53</v>
      </c>
      <c r="C28" s="7">
        <v>15</v>
      </c>
      <c r="D28" s="7">
        <v>0</v>
      </c>
      <c r="E28" s="8">
        <f t="shared" si="0"/>
        <v>15</v>
      </c>
      <c r="F28" s="7">
        <v>4</v>
      </c>
      <c r="G28" s="7">
        <v>0</v>
      </c>
      <c r="H28" s="8">
        <f t="shared" si="1"/>
        <v>4</v>
      </c>
      <c r="I28" s="7">
        <v>0</v>
      </c>
      <c r="J28" s="7">
        <v>0</v>
      </c>
      <c r="K28" s="8">
        <f t="shared" si="2"/>
        <v>0</v>
      </c>
      <c r="L28" s="19" t="s">
        <v>92</v>
      </c>
    </row>
    <row r="29" spans="1:12" x14ac:dyDescent="0.3">
      <c r="A29" s="5" t="s">
        <v>55</v>
      </c>
      <c r="B29" s="5" t="s">
        <v>56</v>
      </c>
      <c r="C29" s="7">
        <v>8</v>
      </c>
      <c r="D29" s="7">
        <v>1</v>
      </c>
      <c r="E29" s="8">
        <f t="shared" si="0"/>
        <v>7</v>
      </c>
      <c r="F29" s="7">
        <v>4</v>
      </c>
      <c r="G29" s="7">
        <v>0</v>
      </c>
      <c r="H29" s="8">
        <f t="shared" si="1"/>
        <v>4</v>
      </c>
      <c r="I29" s="7">
        <v>12</v>
      </c>
      <c r="J29" s="7">
        <v>9</v>
      </c>
      <c r="K29" s="8">
        <f t="shared" si="2"/>
        <v>3</v>
      </c>
      <c r="L29" s="10" t="s">
        <v>93</v>
      </c>
    </row>
    <row r="30" spans="1:12" x14ac:dyDescent="0.3">
      <c r="A30" s="5" t="s">
        <v>57</v>
      </c>
      <c r="B30" s="5" t="s">
        <v>58</v>
      </c>
      <c r="C30" s="7">
        <v>17</v>
      </c>
      <c r="D30" s="7">
        <v>5.6</v>
      </c>
      <c r="E30" s="8">
        <f t="shared" si="0"/>
        <v>11.4</v>
      </c>
      <c r="F30" s="7">
        <v>8</v>
      </c>
      <c r="G30" s="7">
        <v>1.9</v>
      </c>
      <c r="H30" s="8">
        <f t="shared" si="1"/>
        <v>6.1</v>
      </c>
      <c r="I30" s="7">
        <v>5</v>
      </c>
      <c r="J30" s="7">
        <v>1</v>
      </c>
      <c r="K30" s="8">
        <f t="shared" si="2"/>
        <v>4</v>
      </c>
      <c r="L30" s="19" t="s">
        <v>102</v>
      </c>
    </row>
    <row r="31" spans="1:12" x14ac:dyDescent="0.3">
      <c r="A31" s="5" t="s">
        <v>59</v>
      </c>
      <c r="B31" s="5" t="s">
        <v>60</v>
      </c>
      <c r="C31" s="7">
        <v>4</v>
      </c>
      <c r="D31" s="7">
        <v>0</v>
      </c>
      <c r="E31" s="8">
        <f>C31-D31</f>
        <v>4</v>
      </c>
      <c r="F31" s="7">
        <v>8</v>
      </c>
      <c r="G31" s="7">
        <v>0</v>
      </c>
      <c r="H31" s="8">
        <f t="shared" si="1"/>
        <v>8</v>
      </c>
      <c r="I31" s="7">
        <v>4</v>
      </c>
      <c r="J31" s="7">
        <v>0</v>
      </c>
      <c r="K31" s="8">
        <f t="shared" si="2"/>
        <v>4</v>
      </c>
      <c r="L31" s="19" t="s">
        <v>101</v>
      </c>
    </row>
    <row r="32" spans="1:12" x14ac:dyDescent="0.3">
      <c r="A32" s="5" t="s">
        <v>61</v>
      </c>
      <c r="B32" s="5" t="s">
        <v>62</v>
      </c>
      <c r="C32" s="7">
        <v>2</v>
      </c>
      <c r="D32" s="7">
        <v>0</v>
      </c>
      <c r="E32" s="8">
        <f t="shared" si="0"/>
        <v>2</v>
      </c>
      <c r="F32" s="7">
        <v>4</v>
      </c>
      <c r="G32" s="7">
        <v>0</v>
      </c>
      <c r="H32" s="8">
        <f t="shared" si="1"/>
        <v>4</v>
      </c>
      <c r="I32" s="7">
        <v>7</v>
      </c>
      <c r="J32" s="7">
        <v>4</v>
      </c>
      <c r="K32" s="8">
        <f t="shared" si="2"/>
        <v>3</v>
      </c>
      <c r="L32" s="19" t="s">
        <v>103</v>
      </c>
    </row>
    <row r="33" spans="1:12" x14ac:dyDescent="0.3">
      <c r="A33" s="5" t="s">
        <v>63</v>
      </c>
      <c r="B33" s="5" t="s">
        <v>64</v>
      </c>
      <c r="C33" s="7">
        <v>8</v>
      </c>
      <c r="D33" s="7">
        <v>4</v>
      </c>
      <c r="E33" s="8">
        <f t="shared" si="0"/>
        <v>4</v>
      </c>
      <c r="F33" s="7">
        <v>3</v>
      </c>
      <c r="G33" s="7">
        <v>1.6</v>
      </c>
      <c r="H33" s="8">
        <f t="shared" si="1"/>
        <v>1.4</v>
      </c>
      <c r="I33" s="7">
        <v>8</v>
      </c>
      <c r="J33" s="7">
        <v>1</v>
      </c>
      <c r="K33" s="8">
        <f t="shared" si="2"/>
        <v>7</v>
      </c>
      <c r="L33" s="10" t="s">
        <v>88</v>
      </c>
    </row>
    <row r="34" spans="1:12" x14ac:dyDescent="0.3">
      <c r="A34" s="5" t="s">
        <v>65</v>
      </c>
      <c r="B34" s="5" t="s">
        <v>66</v>
      </c>
      <c r="C34" s="7">
        <v>40</v>
      </c>
      <c r="D34" s="7">
        <v>6</v>
      </c>
      <c r="E34" s="8">
        <f t="shared" si="0"/>
        <v>34</v>
      </c>
      <c r="F34" s="7">
        <v>15</v>
      </c>
      <c r="G34" s="7">
        <v>0</v>
      </c>
      <c r="H34" s="8">
        <f t="shared" si="1"/>
        <v>15</v>
      </c>
      <c r="I34" s="7">
        <v>7</v>
      </c>
      <c r="J34" s="7">
        <v>0</v>
      </c>
      <c r="K34" s="8">
        <f t="shared" si="2"/>
        <v>7</v>
      </c>
      <c r="L34" s="19" t="s">
        <v>104</v>
      </c>
    </row>
    <row r="35" spans="1:12" x14ac:dyDescent="0.3">
      <c r="A35" s="5" t="s">
        <v>98</v>
      </c>
      <c r="B35" s="5" t="s">
        <v>99</v>
      </c>
      <c r="C35" s="7">
        <v>8</v>
      </c>
      <c r="D35" s="7">
        <v>0</v>
      </c>
      <c r="E35" s="8">
        <f t="shared" si="0"/>
        <v>8</v>
      </c>
      <c r="F35" s="7">
        <v>4</v>
      </c>
      <c r="G35" s="7">
        <v>0.75</v>
      </c>
      <c r="H35" s="8">
        <f t="shared" si="1"/>
        <v>3.25</v>
      </c>
      <c r="I35" s="7">
        <v>0</v>
      </c>
      <c r="J35" s="7">
        <v>0</v>
      </c>
      <c r="K35" s="8">
        <f t="shared" si="2"/>
        <v>0</v>
      </c>
      <c r="L35" s="23" t="s">
        <v>108</v>
      </c>
    </row>
    <row r="36" spans="1:12" x14ac:dyDescent="0.3">
      <c r="A36" s="5" t="s">
        <v>67</v>
      </c>
      <c r="B36" s="5" t="s">
        <v>68</v>
      </c>
      <c r="C36" s="7">
        <v>0</v>
      </c>
      <c r="D36" s="7">
        <v>0</v>
      </c>
      <c r="E36" s="8">
        <f t="shared" si="0"/>
        <v>0</v>
      </c>
      <c r="F36" s="7">
        <v>0</v>
      </c>
      <c r="G36" s="7">
        <v>0</v>
      </c>
      <c r="H36" s="8">
        <f t="shared" si="1"/>
        <v>0</v>
      </c>
      <c r="I36" s="7">
        <v>0</v>
      </c>
      <c r="J36" s="7">
        <v>0</v>
      </c>
      <c r="K36" s="8">
        <f t="shared" si="2"/>
        <v>0</v>
      </c>
      <c r="L36" s="10" t="s">
        <v>91</v>
      </c>
    </row>
    <row r="37" spans="1:12" x14ac:dyDescent="0.3">
      <c r="A37" s="5" t="s">
        <v>69</v>
      </c>
      <c r="B37" s="5" t="s">
        <v>69</v>
      </c>
      <c r="C37" s="7">
        <v>8</v>
      </c>
      <c r="D37" s="7">
        <v>0</v>
      </c>
      <c r="E37" s="8">
        <f t="shared" si="0"/>
        <v>8</v>
      </c>
      <c r="F37" s="7">
        <v>4</v>
      </c>
      <c r="G37" s="7">
        <v>0</v>
      </c>
      <c r="H37" s="8">
        <f t="shared" si="1"/>
        <v>4</v>
      </c>
      <c r="I37" s="7">
        <v>3</v>
      </c>
      <c r="J37" s="7">
        <v>0</v>
      </c>
      <c r="K37" s="8">
        <f t="shared" si="2"/>
        <v>3</v>
      </c>
      <c r="L37" s="10"/>
    </row>
    <row r="38" spans="1:12" x14ac:dyDescent="0.3">
      <c r="A38" s="5" t="s">
        <v>70</v>
      </c>
      <c r="B38" s="5" t="s">
        <v>71</v>
      </c>
      <c r="C38" s="7">
        <v>4</v>
      </c>
      <c r="D38" s="7">
        <v>0</v>
      </c>
      <c r="E38" s="8">
        <f t="shared" si="0"/>
        <v>4</v>
      </c>
      <c r="F38" s="7">
        <v>3</v>
      </c>
      <c r="G38" s="7">
        <v>0.75</v>
      </c>
      <c r="H38" s="8">
        <f t="shared" si="1"/>
        <v>2.25</v>
      </c>
      <c r="I38" s="7">
        <v>10</v>
      </c>
      <c r="J38" s="7">
        <v>5</v>
      </c>
      <c r="K38" s="8">
        <f t="shared" si="2"/>
        <v>5</v>
      </c>
      <c r="L38" s="22" t="s">
        <v>91</v>
      </c>
    </row>
    <row r="39" spans="1:12" x14ac:dyDescent="0.3">
      <c r="A39" s="5" t="s">
        <v>70</v>
      </c>
      <c r="B39" s="5" t="s">
        <v>96</v>
      </c>
      <c r="C39" s="7">
        <v>0</v>
      </c>
      <c r="D39" s="7">
        <v>0</v>
      </c>
      <c r="E39" s="8">
        <f t="shared" si="0"/>
        <v>0</v>
      </c>
      <c r="F39" s="7">
        <v>0</v>
      </c>
      <c r="G39" s="7">
        <v>0</v>
      </c>
      <c r="H39" s="8">
        <f t="shared" si="1"/>
        <v>0</v>
      </c>
      <c r="I39" s="7">
        <v>4</v>
      </c>
      <c r="J39" s="7">
        <v>0</v>
      </c>
      <c r="K39" s="8">
        <f t="shared" si="2"/>
        <v>4</v>
      </c>
      <c r="L39" s="10" t="s">
        <v>91</v>
      </c>
    </row>
    <row r="40" spans="1:12" x14ac:dyDescent="0.3">
      <c r="A40" s="5" t="s">
        <v>72</v>
      </c>
      <c r="B40" s="5" t="s">
        <v>73</v>
      </c>
      <c r="C40" s="7">
        <v>5</v>
      </c>
      <c r="D40" s="7">
        <v>2</v>
      </c>
      <c r="E40" s="8">
        <f t="shared" si="0"/>
        <v>3</v>
      </c>
      <c r="F40" s="7">
        <v>4</v>
      </c>
      <c r="G40" s="7">
        <v>1.5</v>
      </c>
      <c r="H40" s="8">
        <f t="shared" si="1"/>
        <v>2.5</v>
      </c>
      <c r="I40" s="7">
        <v>9</v>
      </c>
      <c r="J40" s="7">
        <v>10</v>
      </c>
      <c r="K40" s="8">
        <f>I40-J40</f>
        <v>-1</v>
      </c>
      <c r="L40" s="10" t="s">
        <v>89</v>
      </c>
    </row>
    <row r="41" spans="1:12" x14ac:dyDescent="0.3">
      <c r="A41" s="5" t="s">
        <v>74</v>
      </c>
      <c r="B41" s="5" t="s">
        <v>75</v>
      </c>
      <c r="C41" s="7">
        <v>10</v>
      </c>
      <c r="D41" s="7">
        <v>1</v>
      </c>
      <c r="E41" s="8">
        <f t="shared" si="0"/>
        <v>9</v>
      </c>
      <c r="F41" s="7">
        <v>6</v>
      </c>
      <c r="G41" s="7">
        <v>0.8</v>
      </c>
      <c r="H41" s="8">
        <f t="shared" si="1"/>
        <v>5.2</v>
      </c>
      <c r="I41" s="7">
        <v>5</v>
      </c>
      <c r="J41" s="7">
        <v>4</v>
      </c>
      <c r="K41" s="8">
        <f t="shared" si="2"/>
        <v>1</v>
      </c>
      <c r="L41" s="10" t="s">
        <v>94</v>
      </c>
    </row>
    <row r="42" spans="1:12" x14ac:dyDescent="0.3">
      <c r="A42" s="5" t="s">
        <v>74</v>
      </c>
      <c r="B42" s="5" t="s">
        <v>76</v>
      </c>
      <c r="C42" s="7">
        <v>10</v>
      </c>
      <c r="D42" s="7">
        <v>9.5</v>
      </c>
      <c r="E42" s="8">
        <f t="shared" si="0"/>
        <v>0.5</v>
      </c>
      <c r="F42" s="7">
        <v>6</v>
      </c>
      <c r="G42" s="7">
        <v>0</v>
      </c>
      <c r="H42" s="8">
        <f t="shared" si="1"/>
        <v>6</v>
      </c>
      <c r="I42" s="7">
        <v>5</v>
      </c>
      <c r="J42" s="7">
        <v>4</v>
      </c>
      <c r="K42" s="8">
        <f t="shared" si="2"/>
        <v>1</v>
      </c>
      <c r="L42" s="10" t="s">
        <v>94</v>
      </c>
    </row>
    <row r="43" spans="1:12" x14ac:dyDescent="0.3">
      <c r="A43" s="5" t="s">
        <v>77</v>
      </c>
      <c r="B43" s="5" t="s">
        <v>78</v>
      </c>
      <c r="C43" s="7">
        <v>2</v>
      </c>
      <c r="D43" s="7">
        <v>1.4</v>
      </c>
      <c r="E43" s="8">
        <f t="shared" si="0"/>
        <v>0.60000000000000009</v>
      </c>
      <c r="F43" s="7">
        <v>2</v>
      </c>
      <c r="G43" s="7">
        <v>0</v>
      </c>
      <c r="H43" s="8">
        <f t="shared" si="1"/>
        <v>2</v>
      </c>
      <c r="I43" s="7">
        <v>0</v>
      </c>
      <c r="J43" s="7">
        <v>0</v>
      </c>
      <c r="K43" s="8">
        <f t="shared" si="2"/>
        <v>0</v>
      </c>
      <c r="L43" s="19" t="s">
        <v>95</v>
      </c>
    </row>
    <row r="44" spans="1:12" x14ac:dyDescent="0.3">
      <c r="A44" s="5" t="s">
        <v>79</v>
      </c>
      <c r="B44" s="5" t="s">
        <v>80</v>
      </c>
      <c r="C44" s="7">
        <v>3</v>
      </c>
      <c r="D44" s="7">
        <v>0.3</v>
      </c>
      <c r="E44" s="8">
        <f t="shared" si="0"/>
        <v>2.7</v>
      </c>
      <c r="F44" s="7">
        <v>3</v>
      </c>
      <c r="G44" s="7">
        <v>10.25</v>
      </c>
      <c r="H44" s="8">
        <f t="shared" si="1"/>
        <v>-7.25</v>
      </c>
      <c r="I44" s="7">
        <v>0</v>
      </c>
      <c r="J44" s="7">
        <v>0</v>
      </c>
      <c r="K44" s="8">
        <f t="shared" si="2"/>
        <v>0</v>
      </c>
      <c r="L44" s="19" t="s">
        <v>95</v>
      </c>
    </row>
    <row r="45" spans="1:12" x14ac:dyDescent="0.3">
      <c r="A45" s="5" t="s">
        <v>79</v>
      </c>
      <c r="B45" s="5" t="s">
        <v>81</v>
      </c>
      <c r="C45" s="7">
        <v>6</v>
      </c>
      <c r="D45" s="7">
        <v>2.8</v>
      </c>
      <c r="E45" s="8">
        <f t="shared" si="0"/>
        <v>3.2</v>
      </c>
      <c r="F45" s="7">
        <v>6</v>
      </c>
      <c r="G45" s="7">
        <v>5.6</v>
      </c>
      <c r="H45" s="8">
        <f t="shared" si="1"/>
        <v>0.40000000000000036</v>
      </c>
      <c r="I45" s="7">
        <v>0</v>
      </c>
      <c r="J45" s="7">
        <v>0</v>
      </c>
      <c r="K45" s="8">
        <f t="shared" si="2"/>
        <v>0</v>
      </c>
      <c r="L45" s="19" t="s">
        <v>95</v>
      </c>
    </row>
    <row r="46" spans="1:12" x14ac:dyDescent="0.3">
      <c r="A46" s="18" t="s">
        <v>82</v>
      </c>
      <c r="B46" s="18"/>
      <c r="C46" s="11">
        <f t="shared" ref="C46:K46" si="3">SUM(C3:C45)</f>
        <v>366</v>
      </c>
      <c r="D46" s="11">
        <f t="shared" si="3"/>
        <v>83.1</v>
      </c>
      <c r="E46" s="8">
        <f t="shared" si="3"/>
        <v>282.90000000000003</v>
      </c>
      <c r="F46" s="11">
        <f t="shared" si="3"/>
        <v>181</v>
      </c>
      <c r="G46" s="11">
        <f>SUM(G3:G45)</f>
        <v>68.999999999999986</v>
      </c>
      <c r="H46" s="11">
        <f t="shared" si="3"/>
        <v>112.00000000000001</v>
      </c>
      <c r="I46" s="11">
        <f t="shared" si="3"/>
        <v>295</v>
      </c>
      <c r="J46" s="11">
        <f>SUM(J3:J45)</f>
        <v>100</v>
      </c>
      <c r="K46" s="11">
        <f t="shared" si="3"/>
        <v>195</v>
      </c>
      <c r="L46" s="10"/>
    </row>
  </sheetData>
  <mergeCells count="5">
    <mergeCell ref="I1:K1"/>
    <mergeCell ref="C1:E1"/>
    <mergeCell ref="F1:H1"/>
    <mergeCell ref="A1:B1"/>
    <mergeCell ref="A46:B46"/>
  </mergeCells>
  <conditionalFormatting sqref="E1:E1048576">
    <cfRule type="cellIs" dxfId="2" priority="3" operator="lessThan">
      <formula>0</formula>
    </cfRule>
  </conditionalFormatting>
  <conditionalFormatting sqref="H1:H1048576">
    <cfRule type="cellIs" dxfId="1" priority="2" operator="lessThan">
      <formula>0</formula>
    </cfRule>
  </conditionalFormatting>
  <conditionalFormatting sqref="K1:K1048576">
    <cfRule type="cellIs" dxfId="0" priority="1" operator="lessThan">
      <formula>0</formula>
    </cfRule>
  </conditionalFormatting>
  <hyperlinks>
    <hyperlink ref="L13" r:id="rId1" display="mailto:desarrolloweb@grupomerpes.com;d.web1@grupomerpes.com" xr:uid="{F21650F1-8B8A-4CED-854A-01CEFFB95CAB}"/>
    <hyperlink ref="L31" r:id="rId2" display="mailto:k.molina@grupomerpes.com;l.castaneda@grupomerpes.com" xr:uid="{01443F2E-FD8D-47CF-864D-A6AAE2A0F257}"/>
    <hyperlink ref="L22" r:id="rId3" display="mailto:l.castro@grupomerpes.com; c.calderon@grupomerpes.com; asistentecomercial13@grupomerpes.com" xr:uid="{EDE5AA2B-68F1-4749-84A6-BDED451FEB0D}"/>
    <hyperlink ref="L30" r:id="rId4" display="mailto:c.bejarano@grupomerpes.com; l.castaneda@grupomerpes.com; asistentecomercial7@grupomerpes.com" xr:uid="{6B45F4F5-890A-4FD8-95A0-D2995B711B5D}"/>
    <hyperlink ref="L32" r:id="rId5" display="mailto:k.molina@grupomerpes.com; l.castaneda@grupomerpes.com; asistentecomercial1@grupomerpes.com" xr:uid="{E118D3FA-C44F-49F2-B576-5F491E1525F4}"/>
    <hyperlink ref="L23" r:id="rId6" display="mailto:c.bejarano@grupomerpes.com; l.castaneda@grupomerpes.com; asistentecomercial7@grupomerpes.com" xr:uid="{D2EEF639-F981-429A-A91D-AFC4F4A9CCC6}"/>
    <hyperlink ref="L20" r:id="rId7" display="mailto:e.munoz@grupomerpes.com; w.valbuena@grupomerpes.com; asistentecomercial23@grupomerpes.com" xr:uid="{771C9C6D-119E-4355-BE69-C6580A610707}"/>
    <hyperlink ref="L34" r:id="rId8" display="mailto:ks.gualdron@grupomerpes.com; asistentecomercial11@grupomerpes.com; l.castaneda@grupomerpes.com" xr:uid="{5DDBBE8A-C6C5-4D77-AB72-21E8FDC83992}"/>
    <hyperlink ref="L25" r:id="rId9" display="mailto:m.zamudio@grupomerpes.com; asistentecomercial3@grupomerpes.com; w.valbuena@grupomerpes.com" xr:uid="{E93C95BE-916A-47A1-BA29-705338D9BFB4}"/>
    <hyperlink ref="L26" r:id="rId10" display="mailto:m.zamudio@grupomerpes.com; asistentecomercial3@grupomerpes.com; w.valbuena@grupomerpes.com" xr:uid="{B27858FF-2F98-4964-85C7-A4779A5BD0F7}"/>
    <hyperlink ref="L27" r:id="rId11" display="mailto:l.gomez@grupomerpes.com; asistentecomercial22@grupomerpes.com; w.valbuena@grupomerpes.com" xr:uid="{BC68A7AC-864E-4936-B379-0F1F0593630B}"/>
    <hyperlink ref="L28" r:id="rId12" display="mailto:ejecutivo.b2b@grupomerpes.com.pe; w.valbuena@grupomerpes.com" xr:uid="{AEA3A844-19B9-4EB0-80C2-9ABD8AB15CCD}"/>
    <hyperlink ref="L43" r:id="rId13" display="mailto:j.triana@grupomerpes.com; d.grisales@grupomerpes.com" xr:uid="{35395E40-C138-427C-A8F9-EE079595942F}"/>
    <hyperlink ref="L38" r:id="rId14" display="mailto:i.garcia@grupomerpes.com; asistentecomercial6@grupomerpes.com; w.valbuena@grupomerpes.com" xr:uid="{821B6A0D-ACA2-4EDD-AA75-CD0B02A49321}"/>
    <hyperlink ref="L17" r:id="rId15" display="mailto:comercialcr@grupomerpes.com; operacionescr@grupomerpes.com; servicioalclientecr2@grupomerpes.com" xr:uid="{A574EC4E-BBC4-47D9-ABE8-333E04DE8C4D}"/>
    <hyperlink ref="L35" r:id="rId16" display="mailto:a.sosa@grupomerpes.com; asistentecomercial19@grupomerpes.com; c.calderon@grupomerpes.com" xr:uid="{6E17D98B-0251-4DD5-BF24-1BD7F3D0BE26}"/>
    <hyperlink ref="L9" r:id="rId17" display="mailto:comercialcr@grupomerpes.com; operacionescr@grupomerpes.com; servicioalclientecr2@grupomerpes.com" xr:uid="{E7F38EAB-6710-4371-B9AC-EDCAD9FFE4FE}"/>
    <hyperlink ref="L5" r:id="rId18" display="mailto:k.molina@grupomerpes.com; l.castaneda@grupomerpes.com; asistentecomercial1@grupomerpes.com" xr:uid="{3936480A-C30A-4ACF-9AEC-7543EA137DFA}"/>
    <hyperlink ref="L12" r:id="rId19" display="mailto:e.munoz@grupomerpes.com; w.valbuena@grupomerpes.com; asistentecomercial23@grupomerpes.com" xr:uid="{B33A2F48-08AC-4A5E-A906-C06F08468F2A}"/>
    <hyperlink ref="L44" r:id="rId20" display="mailto:j.triana@grupomerpes.com; d.grisales@grupomerpes.com" xr:uid="{DB3304E6-D2A8-4BC0-A1A1-CB2351130175}"/>
    <hyperlink ref="L45" r:id="rId21" display="mailto:j.triana@grupomerpes.com; d.grisales@grupomerpes.com" xr:uid="{A53A2C57-8824-44A3-ADA0-E0758C374FE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378a71-9e85-4fc7-8809-de6b50ba140e}" enabled="1" method="Standard" siteId="{14d2c19f-8f2c-4895-b4f9-0de0e93f3f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Roa</dc:creator>
  <cp:keywords/>
  <dc:description/>
  <cp:lastModifiedBy>Carolina Roa</cp:lastModifiedBy>
  <cp:revision/>
  <dcterms:created xsi:type="dcterms:W3CDTF">2025-09-16T20:37:30Z</dcterms:created>
  <dcterms:modified xsi:type="dcterms:W3CDTF">2026-03-12T19:43:48Z</dcterms:modified>
  <cp:category/>
  <cp:contentStatus/>
</cp:coreProperties>
</file>