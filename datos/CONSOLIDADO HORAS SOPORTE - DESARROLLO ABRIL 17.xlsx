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x4tn/nebYMJy1Ww0WG2YE66xQS+ej0NQfz5oLiSaeWc="/>
    </ext>
  </extLst>
</workbook>
</file>

<file path=xl/sharedStrings.xml><?xml version="1.0" encoding="utf-8"?>
<sst xmlns="http://schemas.openxmlformats.org/spreadsheetml/2006/main" count="144" uniqueCount="112">
  <si>
    <t>ABRIL</t>
  </si>
  <si>
    <t>Horas Soporte Merpes</t>
  </si>
  <si>
    <t>Horas Soporte Zoftinium</t>
  </si>
  <si>
    <t>Piezas diseño</t>
  </si>
  <si>
    <t>Correos</t>
  </si>
  <si>
    <t>Cliente</t>
  </si>
  <si>
    <t>Campaña / Área</t>
  </si>
  <si>
    <t>Asignadas</t>
  </si>
  <si>
    <t>Consumidas</t>
  </si>
  <si>
    <t>Disponibles</t>
  </si>
  <si>
    <t>Apex CO</t>
  </si>
  <si>
    <t>Fuerza Apex</t>
  </si>
  <si>
    <t>a.sosa@grupomerpes.com; asistentecomercial16@grupomerpes.com; c.calderon@grupomerpes.com</t>
  </si>
  <si>
    <t>Apex MX</t>
  </si>
  <si>
    <t>Ganadores Apex</t>
  </si>
  <si>
    <t>i.garcia@grupomerpes.com; j.corrales@grupomerpes.com</t>
  </si>
  <si>
    <t>Beiersdorf CO</t>
  </si>
  <si>
    <t>Socios Sin Limites</t>
  </si>
  <si>
    <t>k.molina@grupomerpes.com; l.castaneda@grupomerpes.com; asistentecomercial1@grupomerpes.com</t>
  </si>
  <si>
    <t>Black &amp; Decker CO</t>
  </si>
  <si>
    <t>Industrias imparables</t>
  </si>
  <si>
    <t>Yellow Force</t>
  </si>
  <si>
    <t>Coca Cola CO</t>
  </si>
  <si>
    <t>Domina el juego</t>
  </si>
  <si>
    <t>l.castro@grupomerpes.com; c.calderon@grupomerpes.com; asistentecomercial13@grupomerpes.com</t>
  </si>
  <si>
    <t>Coca Cola CR</t>
  </si>
  <si>
    <t>Kof United</t>
  </si>
  <si>
    <t>comercialcr@grupomerpes.com; operacionescr@grupomerpes.com; servicioalclientecr2@grupomerpes.com</t>
  </si>
  <si>
    <t>Coca Cola GU</t>
  </si>
  <si>
    <t>Juntos +</t>
  </si>
  <si>
    <t>j.corrales@grupomerpes.com; comercialgt@grupomerpes.com;operaciones.gt@grupomerpes.com;</t>
  </si>
  <si>
    <t>Premia juntos +</t>
  </si>
  <si>
    <t>j.corrales@grupomerpes.com; comercialgt@grupomerpes.com;operaciones.gt@grupomerpes.com</t>
  </si>
  <si>
    <t>Coca Cola PA</t>
  </si>
  <si>
    <t>Plan Fren</t>
  </si>
  <si>
    <t>e.munoz@grupomerpes.com; w.valbuena@grupomerpes.com; asistentecomercial23@grupomerpes.com</t>
  </si>
  <si>
    <t>Diageo CA</t>
  </si>
  <si>
    <t>Legado de visionarios</t>
  </si>
  <si>
    <t>v.zamudio@grupomerpes.com; j.corrales@grupomerpes.com</t>
  </si>
  <si>
    <t>Diageo CO</t>
  </si>
  <si>
    <t>Legado de ganadores</t>
  </si>
  <si>
    <t>ks.gualdron@grupomerpes.com; asistentecomercial10@grupomerpes.com; l.castaneda@grupomerpes.com</t>
  </si>
  <si>
    <t>Diageo CR</t>
  </si>
  <si>
    <t>Dream Team</t>
  </si>
  <si>
    <t>Diversey CO</t>
  </si>
  <si>
    <t>Juntos más fuertes</t>
  </si>
  <si>
    <t>c.calderon@grupomerpes.com; v.zamudio@grupomerpes.com</t>
  </si>
  <si>
    <t>Dos Pinos CR</t>
  </si>
  <si>
    <t>Liga de campeones</t>
  </si>
  <si>
    <t>Gases del oriente CO</t>
  </si>
  <si>
    <t>Brilla en tu corazón</t>
  </si>
  <si>
    <t>Gloria CO</t>
  </si>
  <si>
    <t>La liga que sabe a Gloria</t>
  </si>
  <si>
    <t>Grupo Diana CO</t>
  </si>
  <si>
    <t>Creyentes Diana</t>
  </si>
  <si>
    <t>Impocali CO</t>
  </si>
  <si>
    <t>Redes de fidelización</t>
  </si>
  <si>
    <t>Juan Valdez CO</t>
  </si>
  <si>
    <t>Exhibe y gana</t>
  </si>
  <si>
    <t>Kimberly Clark CO</t>
  </si>
  <si>
    <t>Titanes</t>
  </si>
  <si>
    <t>c.bejarano@grupomerpes.com; l.castaneda@grupomerpes.com; asistentecomercial7@grupomerpes.com</t>
  </si>
  <si>
    <t>Kimberly Clark PE</t>
  </si>
  <si>
    <t>Escuadrón farma</t>
  </si>
  <si>
    <t>ejecutivo.b2b@grupomerpes.com.pe; ejecutivo.fidelizacion@grupomerpes.com.pe</t>
  </si>
  <si>
    <t>Mabe CO</t>
  </si>
  <si>
    <t>Titanes Mabe</t>
  </si>
  <si>
    <t>m.zamudio@grupomerpes.com; asistentecomercial3@grupomerpes.com; w.valbuena@grupomerpes.com</t>
  </si>
  <si>
    <t>Titanes Mabe HE</t>
  </si>
  <si>
    <t>Mabe EC</t>
  </si>
  <si>
    <t>l.gomez@grupomerpes.com; asistentecomercial22@grupomerpes.com; w.valbuena@grupomerpes.com</t>
  </si>
  <si>
    <t>Mabe PE</t>
  </si>
  <si>
    <t>ejecutivo.b2b@grupomerpes.com.pe; w.valbuena@grupomerpes.com</t>
  </si>
  <si>
    <t>Newell CO</t>
  </si>
  <si>
    <t>La venta de oro</t>
  </si>
  <si>
    <t>c.calderon@grupomerpes.com;p.moreno@grupomerpes.com; asistentecomercial16@grupomerpes.com</t>
  </si>
  <si>
    <t>Opella CO</t>
  </si>
  <si>
    <t>Valientes de corazón</t>
  </si>
  <si>
    <t>Papeles Nacionales</t>
  </si>
  <si>
    <t>Jugada Maestra</t>
  </si>
  <si>
    <t>k.molina@grupomerpes.com;l.castaneda@grupomerpes.com</t>
  </si>
  <si>
    <t>Reckitt CO</t>
  </si>
  <si>
    <t>Don Rebueno</t>
  </si>
  <si>
    <t>Softys CO</t>
  </si>
  <si>
    <t>Heroes Élite</t>
  </si>
  <si>
    <t>Splenda CO</t>
  </si>
  <si>
    <t>Copa mundial Splendida</t>
  </si>
  <si>
    <t>ks.gualdron@grupomerpes.com; asistentecomercial11@grupomerpes.com; l.castaneda@grupomerpes.com</t>
  </si>
  <si>
    <t>Super Ricas CO</t>
  </si>
  <si>
    <t>Suma y gana</t>
  </si>
  <si>
    <t>a.sosa@grupomerpes.com; asistentecomercial19@grupomerpes.com; c.calderon@grupomerpes.com</t>
  </si>
  <si>
    <t>Team Foods CO</t>
  </si>
  <si>
    <t>La fuerza aliada</t>
  </si>
  <si>
    <t>i.garcia@grupomerpes.com; asistentecomercial6@grupomerpes.com; w.valbuena@grupomerpes.com</t>
  </si>
  <si>
    <t>Valvoline CO</t>
  </si>
  <si>
    <t>Vanti CO</t>
  </si>
  <si>
    <t>Full Servicio</t>
  </si>
  <si>
    <t>c.bejarano@grupomerpes.com; l.castaneda@grupomerpes.com</t>
  </si>
  <si>
    <t>Vanti amigos GNV</t>
  </si>
  <si>
    <t>j.moreno@grupomerpes.com; d.grisales@grupomerpes.com</t>
  </si>
  <si>
    <t>Wavin Pavco CO</t>
  </si>
  <si>
    <t>Wavin Pavco Recargados</t>
  </si>
  <si>
    <t>Bavaria CO</t>
  </si>
  <si>
    <t>Invencibles</t>
  </si>
  <si>
    <t>j.triana@grupomerpes.com; d.grisales@grupomerpes.com</t>
  </si>
  <si>
    <t>Visionarios</t>
  </si>
  <si>
    <t>Casa Luker CO</t>
  </si>
  <si>
    <t>Guerreros de la casa</t>
  </si>
  <si>
    <t>Terpel CO</t>
  </si>
  <si>
    <t>Lubricantes</t>
  </si>
  <si>
    <t>Vive Pits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</si>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</sst>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ptos Narrow"/>
      <scheme val="minor"/>
    </font>
    <font>
      <b/>
      <sz val="11.0"/>
      <color theme="1"/>
      <name val="Calibri"/>
    </font>
    <font/>
    <font>
      <b/>
      <sz val="11.0"/>
      <color theme="0"/>
      <name val="Aptos Narrow"/>
    </font>
    <font>
      <color theme="1"/>
      <name val="Aptos Narrow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Aptos Narrow"/>
    </font>
    <font>
      <sz val="11.0"/>
      <color rgb="FF467886"/>
      <name val="Arial"/>
    </font>
    <font>
      <sz val="11.0"/>
      <color theme="10"/>
      <name val="Aptos Narrow"/>
    </font>
    <font>
      <b/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4D94D8"/>
        <bgColor rgb="FF4D94D8"/>
      </patternFill>
    </fill>
    <fill>
      <patternFill patternType="solid">
        <fgColor rgb="FFFFC000"/>
        <bgColor rgb="FFFFC000"/>
      </patternFill>
    </fill>
    <fill>
      <patternFill patternType="solid">
        <fgColor rgb="FFFFCC66"/>
        <bgColor rgb="FFFFCC66"/>
      </patternFill>
    </fill>
    <fill>
      <patternFill patternType="solid">
        <fgColor rgb="FFCCCCFF"/>
        <bgColor rgb="FFCCCCFF"/>
      </patternFill>
    </fill>
    <fill>
      <patternFill patternType="solid">
        <fgColor rgb="FF99FF99"/>
        <bgColor rgb="FF99FF99"/>
      </patternFill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</fills>
  <borders count="12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2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6" fillId="4" fontId="3" numFmtId="0" xfId="0" applyAlignment="1" applyBorder="1" applyFill="1" applyFont="1">
      <alignment horizontal="center" vertical="center"/>
    </xf>
    <xf borderId="0" fillId="0" fontId="4" numFmtId="0" xfId="0" applyFont="1"/>
    <xf borderId="9" fillId="0" fontId="1" numFmtId="0" xfId="0" applyAlignment="1" applyBorder="1" applyFont="1">
      <alignment horizontal="center" vertical="top"/>
    </xf>
    <xf borderId="9" fillId="5" fontId="1" numFmtId="0" xfId="0" applyAlignment="1" applyBorder="1" applyFill="1" applyFont="1">
      <alignment horizontal="center" vertical="center"/>
    </xf>
    <xf borderId="9" fillId="6" fontId="1" numFmtId="0" xfId="0" applyAlignment="1" applyBorder="1" applyFill="1" applyFont="1">
      <alignment horizontal="center" vertical="center"/>
    </xf>
    <xf borderId="9" fillId="7" fontId="1" numFmtId="0" xfId="0" applyAlignment="1" applyBorder="1" applyFill="1" applyFont="1">
      <alignment horizontal="center" vertical="center"/>
    </xf>
    <xf borderId="9" fillId="0" fontId="5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center" vertical="center"/>
    </xf>
    <xf borderId="9" fillId="8" fontId="6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9" fillId="9" fontId="8" numFmtId="0" xfId="0" applyAlignment="1" applyBorder="1" applyFill="1" applyFont="1">
      <alignment horizontal="left" readingOrder="1"/>
    </xf>
    <xf borderId="10" fillId="9" fontId="9" numFmtId="0" xfId="0" applyAlignment="1" applyBorder="1" applyFont="1">
      <alignment horizontal="left" readingOrder="1"/>
    </xf>
    <xf borderId="9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9" fillId="0" fontId="9" numFmtId="0" xfId="0" applyAlignment="1" applyBorder="1" applyFont="1">
      <alignment horizontal="left" readingOrder="1"/>
    </xf>
    <xf borderId="9" fillId="9" fontId="9" numFmtId="0" xfId="0" applyAlignment="1" applyBorder="1" applyFont="1">
      <alignment horizontal="left" readingOrder="1"/>
    </xf>
    <xf borderId="11" fillId="9" fontId="9" numFmtId="0" xfId="0" applyAlignment="1" applyBorder="1" applyFont="1">
      <alignment horizontal="left" readingOrder="1"/>
    </xf>
    <xf borderId="9" fillId="9" fontId="9" numFmtId="0" xfId="0" applyAlignment="1" applyBorder="1" applyFont="1">
      <alignment horizontal="left" readingOrder="1"/>
    </xf>
    <xf borderId="6" fillId="0" fontId="1" numFmtId="0" xfId="0" applyAlignment="1" applyBorder="1" applyFont="1">
      <alignment horizontal="left"/>
    </xf>
    <xf borderId="9" fillId="0" fontId="10" numFmtId="0" xfId="0" applyAlignment="1" applyBorder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7.63"/>
    <col customWidth="1" min="2" max="2" width="20.63"/>
    <col customWidth="1" min="3" max="8" width="13.38"/>
    <col customWidth="1" min="9" max="11" width="11.5"/>
    <col customWidth="1" min="12" max="12" width="83.88"/>
    <col customWidth="1" min="13" max="26" width="11.5"/>
  </cols>
  <sheetData>
    <row r="1" ht="14.25" customHeight="1">
      <c r="A1" s="1" t="s">
        <v>0</v>
      </c>
      <c r="B1" s="2"/>
      <c r="C1" s="3" t="s">
        <v>1</v>
      </c>
      <c r="D1" s="4"/>
      <c r="E1" s="5"/>
      <c r="F1" s="6" t="s">
        <v>2</v>
      </c>
      <c r="G1" s="7"/>
      <c r="H1" s="8"/>
      <c r="I1" s="9" t="s">
        <v>3</v>
      </c>
      <c r="J1" s="7"/>
      <c r="K1" s="8"/>
      <c r="L1" s="10" t="s">
        <v>4</v>
      </c>
    </row>
    <row r="2" ht="14.25" customHeight="1">
      <c r="A2" s="11" t="s">
        <v>5</v>
      </c>
      <c r="B2" s="11" t="s">
        <v>6</v>
      </c>
      <c r="C2" s="12" t="s">
        <v>7</v>
      </c>
      <c r="D2" s="13" t="s">
        <v>8</v>
      </c>
      <c r="E2" s="14" t="s">
        <v>9</v>
      </c>
      <c r="F2" s="12" t="s">
        <v>7</v>
      </c>
      <c r="G2" s="13" t="s">
        <v>8</v>
      </c>
      <c r="H2" s="14" t="s">
        <v>9</v>
      </c>
      <c r="I2" s="12" t="s">
        <v>7</v>
      </c>
      <c r="J2" s="13" t="s">
        <v>8</v>
      </c>
      <c r="K2" s="14" t="s">
        <v>9</v>
      </c>
    </row>
    <row r="3" ht="14.25" customHeight="1">
      <c r="A3" s="15" t="s">
        <v>10</v>
      </c>
      <c r="B3" s="15" t="s">
        <v>11</v>
      </c>
      <c r="C3" s="16">
        <v>10.0</v>
      </c>
      <c r="D3" s="16">
        <v>0.0</v>
      </c>
      <c r="E3" s="17">
        <f t="shared" ref="E3:E45" si="1">C3-D3</f>
        <v>10</v>
      </c>
      <c r="F3" s="16">
        <v>3.0</v>
      </c>
      <c r="G3" s="16">
        <v>0.0</v>
      </c>
      <c r="H3" s="17">
        <f t="shared" ref="H3:H45" si="2">F3-G3</f>
        <v>3</v>
      </c>
      <c r="I3" s="16">
        <v>14.0</v>
      </c>
      <c r="J3" s="16">
        <v>7.0</v>
      </c>
      <c r="K3" s="17">
        <f t="shared" ref="K3:K45" si="3">I3-J3</f>
        <v>7</v>
      </c>
      <c r="L3" s="18" t="s">
        <v>12</v>
      </c>
    </row>
    <row r="4" ht="14.25" customHeight="1">
      <c r="A4" s="15" t="s">
        <v>13</v>
      </c>
      <c r="B4" s="15" t="s">
        <v>14</v>
      </c>
      <c r="C4" s="16">
        <v>6.0</v>
      </c>
      <c r="D4" s="16">
        <v>1.0</v>
      </c>
      <c r="E4" s="17">
        <f t="shared" si="1"/>
        <v>5</v>
      </c>
      <c r="F4" s="16">
        <v>3.0</v>
      </c>
      <c r="G4" s="16">
        <v>0.8</v>
      </c>
      <c r="H4" s="17">
        <f t="shared" si="2"/>
        <v>2.2</v>
      </c>
      <c r="I4" s="16">
        <v>14.0</v>
      </c>
      <c r="J4" s="16">
        <v>16.0</v>
      </c>
      <c r="K4" s="17">
        <f t="shared" si="3"/>
        <v>-2</v>
      </c>
      <c r="L4" s="19" t="s">
        <v>15</v>
      </c>
    </row>
    <row r="5" ht="14.25" customHeight="1">
      <c r="A5" s="15" t="s">
        <v>16</v>
      </c>
      <c r="B5" s="15" t="s">
        <v>17</v>
      </c>
      <c r="C5" s="16">
        <v>3.0</v>
      </c>
      <c r="D5" s="16">
        <v>0.0</v>
      </c>
      <c r="E5" s="17">
        <f t="shared" si="1"/>
        <v>3</v>
      </c>
      <c r="F5" s="16">
        <v>2.0</v>
      </c>
      <c r="G5" s="16">
        <v>0.0</v>
      </c>
      <c r="H5" s="17">
        <f t="shared" si="2"/>
        <v>2</v>
      </c>
      <c r="I5" s="16">
        <v>10.0</v>
      </c>
      <c r="J5" s="16">
        <v>0.0</v>
      </c>
      <c r="K5" s="17">
        <f t="shared" si="3"/>
        <v>10</v>
      </c>
      <c r="L5" s="20" t="s">
        <v>18</v>
      </c>
    </row>
    <row r="6" ht="14.25" customHeight="1">
      <c r="A6" s="15" t="s">
        <v>19</v>
      </c>
      <c r="B6" s="15" t="s">
        <v>20</v>
      </c>
      <c r="C6" s="16">
        <v>5.0</v>
      </c>
      <c r="D6" s="16">
        <v>1.1</v>
      </c>
      <c r="E6" s="17">
        <f t="shared" si="1"/>
        <v>3.9</v>
      </c>
      <c r="F6" s="16">
        <v>3.0</v>
      </c>
      <c r="G6" s="16">
        <v>0.0</v>
      </c>
      <c r="H6" s="17">
        <f t="shared" si="2"/>
        <v>3</v>
      </c>
      <c r="I6" s="16">
        <v>3.0</v>
      </c>
      <c r="J6" s="16">
        <v>0.0</v>
      </c>
      <c r="K6" s="17">
        <f t="shared" si="3"/>
        <v>3</v>
      </c>
      <c r="L6" s="19" t="s">
        <v>12</v>
      </c>
    </row>
    <row r="7" ht="14.25" customHeight="1">
      <c r="A7" s="15" t="s">
        <v>19</v>
      </c>
      <c r="B7" s="15" t="s">
        <v>21</v>
      </c>
      <c r="C7" s="16">
        <v>6.0</v>
      </c>
      <c r="D7" s="16">
        <v>2.3</v>
      </c>
      <c r="E7" s="17">
        <f t="shared" si="1"/>
        <v>3.7</v>
      </c>
      <c r="F7" s="16">
        <v>3.0</v>
      </c>
      <c r="G7" s="16">
        <v>0.0</v>
      </c>
      <c r="H7" s="17">
        <f t="shared" si="2"/>
        <v>3</v>
      </c>
      <c r="I7" s="16">
        <v>6.0</v>
      </c>
      <c r="J7" s="16">
        <v>0.0</v>
      </c>
      <c r="K7" s="17">
        <f t="shared" si="3"/>
        <v>6</v>
      </c>
      <c r="L7" s="19" t="s">
        <v>12</v>
      </c>
    </row>
    <row r="8" ht="14.25" customHeight="1">
      <c r="A8" s="15" t="s">
        <v>22</v>
      </c>
      <c r="B8" s="15" t="s">
        <v>23</v>
      </c>
      <c r="C8" s="16">
        <v>8.0</v>
      </c>
      <c r="D8" s="16">
        <v>10.0</v>
      </c>
      <c r="E8" s="17">
        <f t="shared" si="1"/>
        <v>-2</v>
      </c>
      <c r="F8" s="16">
        <v>4.0</v>
      </c>
      <c r="G8" s="16">
        <v>0.0</v>
      </c>
      <c r="H8" s="17">
        <f t="shared" si="2"/>
        <v>4</v>
      </c>
      <c r="I8" s="16">
        <v>8.0</v>
      </c>
      <c r="J8" s="16">
        <v>6.0</v>
      </c>
      <c r="K8" s="17">
        <f t="shared" si="3"/>
        <v>2</v>
      </c>
      <c r="L8" s="19" t="s">
        <v>24</v>
      </c>
    </row>
    <row r="9" ht="14.25" customHeight="1">
      <c r="A9" s="15" t="s">
        <v>25</v>
      </c>
      <c r="B9" s="15" t="s">
        <v>26</v>
      </c>
      <c r="C9" s="16">
        <v>7.0</v>
      </c>
      <c r="D9" s="16">
        <v>1.0</v>
      </c>
      <c r="E9" s="17">
        <f t="shared" si="1"/>
        <v>6</v>
      </c>
      <c r="F9" s="16">
        <v>3.0</v>
      </c>
      <c r="G9" s="16">
        <v>0.0</v>
      </c>
      <c r="H9" s="17">
        <f t="shared" si="2"/>
        <v>3</v>
      </c>
      <c r="I9" s="16">
        <v>15.0</v>
      </c>
      <c r="J9" s="16">
        <v>0.0</v>
      </c>
      <c r="K9" s="17">
        <f t="shared" si="3"/>
        <v>15</v>
      </c>
      <c r="L9" s="21" t="s">
        <v>27</v>
      </c>
    </row>
    <row r="10" ht="14.25" customHeight="1">
      <c r="A10" s="15" t="s">
        <v>28</v>
      </c>
      <c r="B10" s="15" t="s">
        <v>29</v>
      </c>
      <c r="C10" s="16">
        <v>2.0</v>
      </c>
      <c r="D10" s="16">
        <v>0.0</v>
      </c>
      <c r="E10" s="17">
        <f t="shared" si="1"/>
        <v>2</v>
      </c>
      <c r="F10" s="16">
        <v>4.0</v>
      </c>
      <c r="G10" s="16">
        <v>0.0</v>
      </c>
      <c r="H10" s="17">
        <f t="shared" si="2"/>
        <v>4</v>
      </c>
      <c r="I10" s="16">
        <v>0.0</v>
      </c>
      <c r="J10" s="16">
        <v>0.0</v>
      </c>
      <c r="K10" s="17">
        <f t="shared" si="3"/>
        <v>0</v>
      </c>
      <c r="L10" s="19" t="s">
        <v>30</v>
      </c>
    </row>
    <row r="11" ht="14.25" customHeight="1">
      <c r="A11" s="15" t="s">
        <v>28</v>
      </c>
      <c r="B11" s="15" t="s">
        <v>31</v>
      </c>
      <c r="C11" s="16">
        <v>25.0</v>
      </c>
      <c r="D11" s="16">
        <v>6.0</v>
      </c>
      <c r="E11" s="17">
        <f t="shared" si="1"/>
        <v>19</v>
      </c>
      <c r="F11" s="16">
        <v>10.0</v>
      </c>
      <c r="G11" s="16">
        <v>2.5</v>
      </c>
      <c r="H11" s="17">
        <f t="shared" si="2"/>
        <v>7.5</v>
      </c>
      <c r="I11" s="16">
        <v>31.0</v>
      </c>
      <c r="J11" s="16">
        <v>2.0</v>
      </c>
      <c r="K11" s="17">
        <f t="shared" si="3"/>
        <v>29</v>
      </c>
      <c r="L11" s="19" t="s">
        <v>32</v>
      </c>
    </row>
    <row r="12" ht="14.25" customHeight="1">
      <c r="A12" s="15" t="s">
        <v>33</v>
      </c>
      <c r="B12" s="15" t="s">
        <v>34</v>
      </c>
      <c r="C12" s="16">
        <v>15.0</v>
      </c>
      <c r="D12" s="16">
        <v>1.0</v>
      </c>
      <c r="E12" s="17">
        <f t="shared" si="1"/>
        <v>14</v>
      </c>
      <c r="F12" s="16">
        <v>6.0</v>
      </c>
      <c r="G12" s="16">
        <v>0.0</v>
      </c>
      <c r="H12" s="17">
        <f t="shared" si="2"/>
        <v>6</v>
      </c>
      <c r="I12" s="16">
        <v>8.0</v>
      </c>
      <c r="J12" s="16">
        <v>0.0</v>
      </c>
      <c r="K12" s="17">
        <f t="shared" si="3"/>
        <v>8</v>
      </c>
      <c r="L12" s="22" t="s">
        <v>35</v>
      </c>
    </row>
    <row r="13" ht="14.25" customHeight="1">
      <c r="A13" s="15" t="s">
        <v>36</v>
      </c>
      <c r="B13" s="15" t="s">
        <v>37</v>
      </c>
      <c r="C13" s="16">
        <v>8.0</v>
      </c>
      <c r="D13" s="16">
        <v>0.8</v>
      </c>
      <c r="E13" s="17">
        <f t="shared" si="1"/>
        <v>7.2</v>
      </c>
      <c r="F13" s="16">
        <v>3.0</v>
      </c>
      <c r="G13" s="16">
        <v>0.0</v>
      </c>
      <c r="H13" s="17">
        <f t="shared" si="2"/>
        <v>3</v>
      </c>
      <c r="I13" s="16">
        <v>12.0</v>
      </c>
      <c r="J13" s="16">
        <v>3.0</v>
      </c>
      <c r="K13" s="17">
        <f t="shared" si="3"/>
        <v>9</v>
      </c>
      <c r="L13" s="23" t="s">
        <v>38</v>
      </c>
    </row>
    <row r="14" ht="14.25" customHeight="1">
      <c r="A14" s="15" t="s">
        <v>39</v>
      </c>
      <c r="B14" s="15" t="s">
        <v>40</v>
      </c>
      <c r="C14" s="16">
        <v>10.0</v>
      </c>
      <c r="D14" s="16">
        <v>0.0</v>
      </c>
      <c r="E14" s="17">
        <f t="shared" si="1"/>
        <v>10</v>
      </c>
      <c r="F14" s="16">
        <v>5.0</v>
      </c>
      <c r="G14" s="16">
        <v>0.0</v>
      </c>
      <c r="H14" s="17">
        <f t="shared" si="2"/>
        <v>5</v>
      </c>
      <c r="I14" s="16">
        <v>14.0</v>
      </c>
      <c r="J14" s="16">
        <v>5.0</v>
      </c>
      <c r="K14" s="17">
        <f t="shared" si="3"/>
        <v>9</v>
      </c>
      <c r="L14" s="19" t="s">
        <v>41</v>
      </c>
    </row>
    <row r="15" ht="14.25" customHeight="1">
      <c r="A15" s="15" t="s">
        <v>42</v>
      </c>
      <c r="B15" s="15" t="s">
        <v>43</v>
      </c>
      <c r="C15" s="16">
        <v>3.0</v>
      </c>
      <c r="D15" s="16">
        <v>0.0</v>
      </c>
      <c r="E15" s="17">
        <f t="shared" si="1"/>
        <v>3</v>
      </c>
      <c r="F15" s="16">
        <v>2.0</v>
      </c>
      <c r="G15" s="16">
        <v>0.0</v>
      </c>
      <c r="H15" s="17">
        <f t="shared" si="2"/>
        <v>2</v>
      </c>
      <c r="I15" s="16">
        <v>0.0</v>
      </c>
      <c r="J15" s="16">
        <v>0.0</v>
      </c>
      <c r="K15" s="17">
        <f t="shared" si="3"/>
        <v>0</v>
      </c>
      <c r="L15" s="19" t="s">
        <v>15</v>
      </c>
    </row>
    <row r="16" ht="14.25" customHeight="1">
      <c r="A16" s="15" t="s">
        <v>44</v>
      </c>
      <c r="B16" s="15" t="s">
        <v>45</v>
      </c>
      <c r="C16" s="16">
        <v>3.0</v>
      </c>
      <c r="D16" s="16">
        <v>0.0</v>
      </c>
      <c r="E16" s="17">
        <f t="shared" si="1"/>
        <v>3</v>
      </c>
      <c r="F16" s="16">
        <v>3.0</v>
      </c>
      <c r="G16" s="16">
        <v>0.0</v>
      </c>
      <c r="H16" s="17">
        <f t="shared" si="2"/>
        <v>3</v>
      </c>
      <c r="I16" s="16">
        <v>6.0</v>
      </c>
      <c r="J16" s="16">
        <v>0.0</v>
      </c>
      <c r="K16" s="17">
        <f t="shared" si="3"/>
        <v>6</v>
      </c>
      <c r="L16" s="19" t="s">
        <v>46</v>
      </c>
    </row>
    <row r="17" ht="14.25" customHeight="1">
      <c r="A17" s="15" t="s">
        <v>47</v>
      </c>
      <c r="B17" s="15" t="s">
        <v>48</v>
      </c>
      <c r="C17" s="16">
        <v>10.0</v>
      </c>
      <c r="D17" s="16">
        <v>2.0</v>
      </c>
      <c r="E17" s="17">
        <f t="shared" si="1"/>
        <v>8</v>
      </c>
      <c r="F17" s="16">
        <v>4.0</v>
      </c>
      <c r="G17" s="16">
        <v>2.5</v>
      </c>
      <c r="H17" s="17">
        <f t="shared" si="2"/>
        <v>1.5</v>
      </c>
      <c r="I17" s="16">
        <v>15.0</v>
      </c>
      <c r="J17" s="16">
        <v>0.0</v>
      </c>
      <c r="K17" s="17">
        <f t="shared" si="3"/>
        <v>15</v>
      </c>
      <c r="L17" s="21" t="s">
        <v>27</v>
      </c>
    </row>
    <row r="18" ht="14.25" customHeight="1">
      <c r="A18" s="15" t="s">
        <v>49</v>
      </c>
      <c r="B18" s="15" t="s">
        <v>50</v>
      </c>
      <c r="C18" s="16">
        <v>8.0</v>
      </c>
      <c r="D18" s="16">
        <v>8.3</v>
      </c>
      <c r="E18" s="17">
        <f t="shared" si="1"/>
        <v>-0.3</v>
      </c>
      <c r="F18" s="16">
        <v>5.0</v>
      </c>
      <c r="G18" s="16">
        <v>3.1</v>
      </c>
      <c r="H18" s="17">
        <f t="shared" si="2"/>
        <v>1.9</v>
      </c>
      <c r="I18" s="16">
        <v>10.0</v>
      </c>
      <c r="J18" s="16">
        <v>13.0</v>
      </c>
      <c r="K18" s="17">
        <f t="shared" si="3"/>
        <v>-3</v>
      </c>
      <c r="L18" s="19" t="s">
        <v>46</v>
      </c>
    </row>
    <row r="19" ht="14.25" customHeight="1">
      <c r="A19" s="15" t="s">
        <v>51</v>
      </c>
      <c r="B19" s="15" t="s">
        <v>52</v>
      </c>
      <c r="C19" s="16">
        <v>15.0</v>
      </c>
      <c r="D19" s="16">
        <v>0.0</v>
      </c>
      <c r="E19" s="17">
        <f t="shared" si="1"/>
        <v>15</v>
      </c>
      <c r="F19" s="16">
        <v>5.0</v>
      </c>
      <c r="G19" s="16">
        <v>0.0</v>
      </c>
      <c r="H19" s="17">
        <f t="shared" si="2"/>
        <v>5</v>
      </c>
      <c r="I19" s="16">
        <v>20.0</v>
      </c>
      <c r="J19" s="16">
        <v>0.0</v>
      </c>
      <c r="K19" s="17">
        <f t="shared" si="3"/>
        <v>20</v>
      </c>
      <c r="L19" s="19" t="s">
        <v>35</v>
      </c>
    </row>
    <row r="20" ht="14.25" customHeight="1">
      <c r="A20" s="15" t="s">
        <v>53</v>
      </c>
      <c r="B20" s="15" t="s">
        <v>54</v>
      </c>
      <c r="C20" s="16">
        <v>8.0</v>
      </c>
      <c r="D20" s="16">
        <v>2.8</v>
      </c>
      <c r="E20" s="17">
        <f t="shared" si="1"/>
        <v>5.2</v>
      </c>
      <c r="F20" s="16">
        <v>4.0</v>
      </c>
      <c r="G20" s="16">
        <v>0.0</v>
      </c>
      <c r="H20" s="17">
        <f t="shared" si="2"/>
        <v>4</v>
      </c>
      <c r="I20" s="16">
        <v>7.0</v>
      </c>
      <c r="J20" s="16">
        <v>2.0</v>
      </c>
      <c r="K20" s="17">
        <f t="shared" si="3"/>
        <v>5</v>
      </c>
      <c r="L20" s="22" t="s">
        <v>35</v>
      </c>
    </row>
    <row r="21" ht="14.25" customHeight="1">
      <c r="A21" s="15" t="s">
        <v>55</v>
      </c>
      <c r="B21" s="15" t="s">
        <v>56</v>
      </c>
      <c r="C21" s="16">
        <v>8.0</v>
      </c>
      <c r="D21" s="16">
        <v>0.0</v>
      </c>
      <c r="E21" s="17">
        <f t="shared" si="1"/>
        <v>8</v>
      </c>
      <c r="F21" s="16">
        <v>4.0</v>
      </c>
      <c r="G21" s="16">
        <v>0.0</v>
      </c>
      <c r="H21" s="17">
        <f t="shared" si="2"/>
        <v>4</v>
      </c>
      <c r="I21" s="16">
        <v>8.0</v>
      </c>
      <c r="J21" s="16">
        <v>4.0</v>
      </c>
      <c r="K21" s="17">
        <f t="shared" si="3"/>
        <v>4</v>
      </c>
      <c r="L21" s="19" t="s">
        <v>12</v>
      </c>
    </row>
    <row r="22" ht="14.25" customHeight="1">
      <c r="A22" s="15" t="s">
        <v>57</v>
      </c>
      <c r="B22" s="15" t="s">
        <v>58</v>
      </c>
      <c r="C22" s="16">
        <v>8.0</v>
      </c>
      <c r="D22" s="16">
        <v>0.0</v>
      </c>
      <c r="E22" s="17">
        <f t="shared" si="1"/>
        <v>8</v>
      </c>
      <c r="F22" s="16">
        <v>3.0</v>
      </c>
      <c r="G22" s="16">
        <v>0.0</v>
      </c>
      <c r="H22" s="17">
        <f t="shared" si="2"/>
        <v>3</v>
      </c>
      <c r="I22" s="16">
        <v>0.0</v>
      </c>
      <c r="J22" s="16">
        <v>0.0</v>
      </c>
      <c r="K22" s="17">
        <f t="shared" si="3"/>
        <v>0</v>
      </c>
      <c r="L22" s="24" t="s">
        <v>24</v>
      </c>
    </row>
    <row r="23" ht="14.25" customHeight="1">
      <c r="A23" s="15" t="s">
        <v>59</v>
      </c>
      <c r="B23" s="15" t="s">
        <v>60</v>
      </c>
      <c r="C23" s="16">
        <v>6.0</v>
      </c>
      <c r="D23" s="16">
        <v>0.0</v>
      </c>
      <c r="E23" s="17">
        <f t="shared" si="1"/>
        <v>6</v>
      </c>
      <c r="F23" s="16">
        <v>4.0</v>
      </c>
      <c r="G23" s="16">
        <v>0.0</v>
      </c>
      <c r="H23" s="17">
        <f t="shared" si="2"/>
        <v>4</v>
      </c>
      <c r="I23" s="16">
        <v>8.0</v>
      </c>
      <c r="J23" s="16">
        <v>7.0</v>
      </c>
      <c r="K23" s="17">
        <f t="shared" si="3"/>
        <v>1</v>
      </c>
      <c r="L23" s="22" t="s">
        <v>61</v>
      </c>
    </row>
    <row r="24" ht="14.25" customHeight="1">
      <c r="A24" s="15" t="s">
        <v>62</v>
      </c>
      <c r="B24" s="15" t="s">
        <v>63</v>
      </c>
      <c r="C24" s="16">
        <v>2.0</v>
      </c>
      <c r="D24" s="16">
        <v>0.0</v>
      </c>
      <c r="E24" s="17">
        <f t="shared" si="1"/>
        <v>2</v>
      </c>
      <c r="F24" s="16">
        <v>2.0</v>
      </c>
      <c r="G24" s="16">
        <v>0.0</v>
      </c>
      <c r="H24" s="17">
        <f t="shared" si="2"/>
        <v>2</v>
      </c>
      <c r="I24" s="16">
        <v>7.0</v>
      </c>
      <c r="J24" s="16">
        <v>0.0</v>
      </c>
      <c r="K24" s="17">
        <f t="shared" si="3"/>
        <v>7</v>
      </c>
      <c r="L24" s="19" t="s">
        <v>64</v>
      </c>
    </row>
    <row r="25" ht="14.25" customHeight="1">
      <c r="A25" s="15" t="s">
        <v>65</v>
      </c>
      <c r="B25" s="15" t="s">
        <v>66</v>
      </c>
      <c r="C25" s="16">
        <v>15.0</v>
      </c>
      <c r="D25" s="16">
        <v>6.9</v>
      </c>
      <c r="E25" s="17">
        <f t="shared" si="1"/>
        <v>8.1</v>
      </c>
      <c r="F25" s="16">
        <v>4.0</v>
      </c>
      <c r="G25" s="16">
        <v>0.6</v>
      </c>
      <c r="H25" s="17">
        <f t="shared" si="2"/>
        <v>3.4</v>
      </c>
      <c r="I25" s="16">
        <v>0.0</v>
      </c>
      <c r="J25" s="16">
        <v>0.0</v>
      </c>
      <c r="K25" s="17">
        <f t="shared" si="3"/>
        <v>0</v>
      </c>
      <c r="L25" s="25" t="s">
        <v>67</v>
      </c>
    </row>
    <row r="26" ht="14.25" customHeight="1">
      <c r="A26" s="15" t="s">
        <v>65</v>
      </c>
      <c r="B26" s="15" t="s">
        <v>68</v>
      </c>
      <c r="C26" s="16">
        <v>10.0</v>
      </c>
      <c r="D26" s="16">
        <v>1.0</v>
      </c>
      <c r="E26" s="17">
        <f t="shared" si="1"/>
        <v>9</v>
      </c>
      <c r="F26" s="16">
        <v>4.0</v>
      </c>
      <c r="G26" s="16">
        <v>0.0</v>
      </c>
      <c r="H26" s="17">
        <f t="shared" si="2"/>
        <v>4</v>
      </c>
      <c r="I26" s="16">
        <v>0.0</v>
      </c>
      <c r="J26" s="16">
        <v>0.0</v>
      </c>
      <c r="K26" s="17">
        <f t="shared" si="3"/>
        <v>0</v>
      </c>
      <c r="L26" s="25" t="s">
        <v>67</v>
      </c>
    </row>
    <row r="27" ht="14.25" customHeight="1">
      <c r="A27" s="15" t="s">
        <v>69</v>
      </c>
      <c r="B27" s="15" t="s">
        <v>66</v>
      </c>
      <c r="C27" s="16">
        <v>15.0</v>
      </c>
      <c r="D27" s="16">
        <v>0.3</v>
      </c>
      <c r="E27" s="17">
        <f t="shared" si="1"/>
        <v>14.7</v>
      </c>
      <c r="F27" s="16">
        <v>4.0</v>
      </c>
      <c r="G27" s="16">
        <v>0.0</v>
      </c>
      <c r="H27" s="17">
        <f t="shared" si="2"/>
        <v>4</v>
      </c>
      <c r="I27" s="16">
        <v>0.0</v>
      </c>
      <c r="J27" s="16">
        <v>0.0</v>
      </c>
      <c r="K27" s="17">
        <f t="shared" si="3"/>
        <v>0</v>
      </c>
      <c r="L27" s="25" t="s">
        <v>70</v>
      </c>
    </row>
    <row r="28" ht="14.25" customHeight="1">
      <c r="A28" s="15" t="s">
        <v>71</v>
      </c>
      <c r="B28" s="15" t="s">
        <v>66</v>
      </c>
      <c r="C28" s="16">
        <v>15.0</v>
      </c>
      <c r="D28" s="16">
        <v>0.5</v>
      </c>
      <c r="E28" s="17">
        <f t="shared" si="1"/>
        <v>14.5</v>
      </c>
      <c r="F28" s="16">
        <v>4.0</v>
      </c>
      <c r="G28" s="16">
        <v>0.0</v>
      </c>
      <c r="H28" s="17">
        <f t="shared" si="2"/>
        <v>4</v>
      </c>
      <c r="I28" s="16">
        <v>0.0</v>
      </c>
      <c r="J28" s="16">
        <v>0.0</v>
      </c>
      <c r="K28" s="17">
        <f t="shared" si="3"/>
        <v>0</v>
      </c>
      <c r="L28" s="25" t="s">
        <v>72</v>
      </c>
    </row>
    <row r="29" ht="14.25" customHeight="1">
      <c r="A29" s="15" t="s">
        <v>73</v>
      </c>
      <c r="B29" s="15" t="s">
        <v>74</v>
      </c>
      <c r="C29" s="16">
        <v>8.0</v>
      </c>
      <c r="D29" s="16">
        <v>1.1</v>
      </c>
      <c r="E29" s="17">
        <f t="shared" si="1"/>
        <v>6.9</v>
      </c>
      <c r="F29" s="16">
        <v>4.0</v>
      </c>
      <c r="G29" s="16">
        <v>0.0</v>
      </c>
      <c r="H29" s="17">
        <f t="shared" si="2"/>
        <v>4</v>
      </c>
      <c r="I29" s="16">
        <v>12.0</v>
      </c>
      <c r="J29" s="16">
        <v>2.0</v>
      </c>
      <c r="K29" s="17">
        <f t="shared" si="3"/>
        <v>10</v>
      </c>
      <c r="L29" s="19" t="s">
        <v>75</v>
      </c>
    </row>
    <row r="30" ht="14.25" customHeight="1">
      <c r="A30" s="15" t="s">
        <v>76</v>
      </c>
      <c r="B30" s="15" t="s">
        <v>77</v>
      </c>
      <c r="C30" s="16">
        <v>17.0</v>
      </c>
      <c r="D30" s="16">
        <v>0.0</v>
      </c>
      <c r="E30" s="17">
        <f t="shared" si="1"/>
        <v>17</v>
      </c>
      <c r="F30" s="16">
        <v>8.0</v>
      </c>
      <c r="G30" s="16">
        <v>0.0</v>
      </c>
      <c r="H30" s="17">
        <f t="shared" si="2"/>
        <v>8</v>
      </c>
      <c r="I30" s="16">
        <v>5.0</v>
      </c>
      <c r="J30" s="16">
        <v>8.0</v>
      </c>
      <c r="K30" s="17">
        <f t="shared" si="3"/>
        <v>-3</v>
      </c>
      <c r="L30" s="25" t="s">
        <v>61</v>
      </c>
    </row>
    <row r="31" ht="14.25" customHeight="1">
      <c r="A31" s="15" t="s">
        <v>78</v>
      </c>
      <c r="B31" s="15" t="s">
        <v>79</v>
      </c>
      <c r="C31" s="16">
        <v>4.0</v>
      </c>
      <c r="D31" s="16">
        <v>0.0</v>
      </c>
      <c r="E31" s="17">
        <f t="shared" si="1"/>
        <v>4</v>
      </c>
      <c r="F31" s="16">
        <v>8.0</v>
      </c>
      <c r="G31" s="16">
        <v>0.0</v>
      </c>
      <c r="H31" s="17">
        <f t="shared" si="2"/>
        <v>8</v>
      </c>
      <c r="I31" s="16">
        <v>4.0</v>
      </c>
      <c r="J31" s="16">
        <v>4.0</v>
      </c>
      <c r="K31" s="17">
        <f t="shared" si="3"/>
        <v>0</v>
      </c>
      <c r="L31" s="25" t="s">
        <v>80</v>
      </c>
    </row>
    <row r="32" ht="14.25" customHeight="1">
      <c r="A32" s="15" t="s">
        <v>81</v>
      </c>
      <c r="B32" s="15" t="s">
        <v>82</v>
      </c>
      <c r="C32" s="16">
        <v>2.0</v>
      </c>
      <c r="D32" s="16">
        <v>0.0</v>
      </c>
      <c r="E32" s="17">
        <f t="shared" si="1"/>
        <v>2</v>
      </c>
      <c r="F32" s="16">
        <v>4.0</v>
      </c>
      <c r="G32" s="16">
        <v>0.0</v>
      </c>
      <c r="H32" s="17">
        <f t="shared" si="2"/>
        <v>4</v>
      </c>
      <c r="I32" s="16">
        <v>7.0</v>
      </c>
      <c r="J32" s="16">
        <v>0.0</v>
      </c>
      <c r="K32" s="17">
        <f t="shared" si="3"/>
        <v>7</v>
      </c>
      <c r="L32" s="25" t="s">
        <v>18</v>
      </c>
    </row>
    <row r="33" ht="14.25" customHeight="1">
      <c r="A33" s="15" t="s">
        <v>83</v>
      </c>
      <c r="B33" s="15" t="s">
        <v>84</v>
      </c>
      <c r="C33" s="16">
        <v>8.0</v>
      </c>
      <c r="D33" s="16">
        <v>1.0</v>
      </c>
      <c r="E33" s="17">
        <f t="shared" si="1"/>
        <v>7</v>
      </c>
      <c r="F33" s="16">
        <v>3.0</v>
      </c>
      <c r="G33" s="16">
        <v>0.0</v>
      </c>
      <c r="H33" s="17">
        <f t="shared" si="2"/>
        <v>3</v>
      </c>
      <c r="I33" s="16">
        <v>8.0</v>
      </c>
      <c r="J33" s="16">
        <v>9.0</v>
      </c>
      <c r="K33" s="17">
        <f t="shared" si="3"/>
        <v>-1</v>
      </c>
      <c r="L33" s="19" t="s">
        <v>35</v>
      </c>
    </row>
    <row r="34" ht="14.25" customHeight="1">
      <c r="A34" s="15" t="s">
        <v>85</v>
      </c>
      <c r="B34" s="15" t="s">
        <v>86</v>
      </c>
      <c r="C34" s="16">
        <v>40.0</v>
      </c>
      <c r="D34" s="16">
        <v>2.0</v>
      </c>
      <c r="E34" s="17">
        <f t="shared" si="1"/>
        <v>38</v>
      </c>
      <c r="F34" s="16">
        <v>15.0</v>
      </c>
      <c r="G34" s="16">
        <v>0.0</v>
      </c>
      <c r="H34" s="17">
        <f t="shared" si="2"/>
        <v>15</v>
      </c>
      <c r="I34" s="16">
        <v>7.0</v>
      </c>
      <c r="J34" s="16">
        <v>0.0</v>
      </c>
      <c r="K34" s="17">
        <f t="shared" si="3"/>
        <v>7</v>
      </c>
      <c r="L34" s="25" t="s">
        <v>87</v>
      </c>
    </row>
    <row r="35" ht="14.25" customHeight="1">
      <c r="A35" s="15" t="s">
        <v>88</v>
      </c>
      <c r="B35" s="15" t="s">
        <v>89</v>
      </c>
      <c r="C35" s="16">
        <v>8.0</v>
      </c>
      <c r="D35" s="16">
        <v>0.0</v>
      </c>
      <c r="E35" s="17">
        <f t="shared" si="1"/>
        <v>8</v>
      </c>
      <c r="F35" s="16">
        <v>4.0</v>
      </c>
      <c r="G35" s="16">
        <v>0.0</v>
      </c>
      <c r="H35" s="17">
        <f t="shared" si="2"/>
        <v>4</v>
      </c>
      <c r="I35" s="16">
        <v>0.0</v>
      </c>
      <c r="J35" s="16">
        <v>0.0</v>
      </c>
      <c r="K35" s="17">
        <f t="shared" si="3"/>
        <v>0</v>
      </c>
      <c r="L35" s="21" t="s">
        <v>90</v>
      </c>
    </row>
    <row r="36" ht="14.25" customHeight="1">
      <c r="A36" s="15" t="s">
        <v>91</v>
      </c>
      <c r="B36" s="15" t="s">
        <v>92</v>
      </c>
      <c r="C36" s="16">
        <v>0.0</v>
      </c>
      <c r="D36" s="16">
        <v>0.0</v>
      </c>
      <c r="E36" s="17">
        <f t="shared" si="1"/>
        <v>0</v>
      </c>
      <c r="F36" s="16">
        <v>0.0</v>
      </c>
      <c r="G36" s="16">
        <v>0.0</v>
      </c>
      <c r="H36" s="17">
        <f t="shared" si="2"/>
        <v>0</v>
      </c>
      <c r="I36" s="16">
        <v>0.0</v>
      </c>
      <c r="J36" s="16">
        <v>0.0</v>
      </c>
      <c r="K36" s="17">
        <f t="shared" si="3"/>
        <v>0</v>
      </c>
      <c r="L36" s="19" t="s">
        <v>93</v>
      </c>
    </row>
    <row r="37" ht="14.25" customHeight="1">
      <c r="A37" s="15" t="s">
        <v>94</v>
      </c>
      <c r="B37" s="15" t="s">
        <v>94</v>
      </c>
      <c r="C37" s="16">
        <v>8.0</v>
      </c>
      <c r="D37" s="16">
        <v>0.0</v>
      </c>
      <c r="E37" s="17">
        <f t="shared" si="1"/>
        <v>8</v>
      </c>
      <c r="F37" s="16">
        <v>4.0</v>
      </c>
      <c r="G37" s="16">
        <v>0.0</v>
      </c>
      <c r="H37" s="17">
        <f t="shared" si="2"/>
        <v>4</v>
      </c>
      <c r="I37" s="16">
        <v>3.0</v>
      </c>
      <c r="J37" s="16">
        <v>0.0</v>
      </c>
      <c r="K37" s="17">
        <f t="shared" si="3"/>
        <v>3</v>
      </c>
      <c r="L37" s="19" t="s">
        <v>93</v>
      </c>
    </row>
    <row r="38" ht="14.25" customHeight="1">
      <c r="A38" s="15" t="s">
        <v>95</v>
      </c>
      <c r="B38" s="15" t="s">
        <v>96</v>
      </c>
      <c r="C38" s="16">
        <v>4.0</v>
      </c>
      <c r="D38" s="16">
        <v>0.5</v>
      </c>
      <c r="E38" s="17">
        <f t="shared" si="1"/>
        <v>3.5</v>
      </c>
      <c r="F38" s="16">
        <v>3.0</v>
      </c>
      <c r="G38" s="16">
        <v>0.0</v>
      </c>
      <c r="H38" s="17">
        <f t="shared" si="2"/>
        <v>3</v>
      </c>
      <c r="I38" s="16">
        <v>10.0</v>
      </c>
      <c r="J38" s="16">
        <v>2.0</v>
      </c>
      <c r="K38" s="17">
        <f t="shared" si="3"/>
        <v>8</v>
      </c>
      <c r="L38" s="26" t="s">
        <v>97</v>
      </c>
    </row>
    <row r="39" ht="14.25" customHeight="1">
      <c r="A39" s="15" t="s">
        <v>95</v>
      </c>
      <c r="B39" s="15" t="s">
        <v>98</v>
      </c>
      <c r="C39" s="16">
        <v>0.0</v>
      </c>
      <c r="D39" s="16">
        <v>0.0</v>
      </c>
      <c r="E39" s="17">
        <f t="shared" si="1"/>
        <v>0</v>
      </c>
      <c r="F39" s="16">
        <v>0.0</v>
      </c>
      <c r="G39" s="16">
        <v>0.0</v>
      </c>
      <c r="H39" s="17">
        <f t="shared" si="2"/>
        <v>0</v>
      </c>
      <c r="I39" s="16">
        <v>4.0</v>
      </c>
      <c r="J39" s="16">
        <v>0.0</v>
      </c>
      <c r="K39" s="17">
        <f t="shared" si="3"/>
        <v>4</v>
      </c>
      <c r="L39" s="19" t="s">
        <v>99</v>
      </c>
    </row>
    <row r="40" ht="14.25" customHeight="1">
      <c r="A40" s="15" t="s">
        <v>100</v>
      </c>
      <c r="B40" s="15" t="s">
        <v>101</v>
      </c>
      <c r="C40" s="16">
        <v>5.0</v>
      </c>
      <c r="D40" s="16">
        <v>2.1</v>
      </c>
      <c r="E40" s="17">
        <f t="shared" si="1"/>
        <v>2.9</v>
      </c>
      <c r="F40" s="16">
        <v>4.0</v>
      </c>
      <c r="G40" s="16">
        <v>0.0</v>
      </c>
      <c r="H40" s="17">
        <f t="shared" si="2"/>
        <v>4</v>
      </c>
      <c r="I40" s="16">
        <v>9.0</v>
      </c>
      <c r="J40" s="16">
        <v>7.0</v>
      </c>
      <c r="K40" s="17">
        <f t="shared" si="3"/>
        <v>2</v>
      </c>
      <c r="L40" s="19" t="s">
        <v>99</v>
      </c>
    </row>
    <row r="41" ht="14.25" customHeight="1">
      <c r="A41" s="15" t="s">
        <v>102</v>
      </c>
      <c r="B41" s="15" t="s">
        <v>103</v>
      </c>
      <c r="C41" s="16">
        <v>10.0</v>
      </c>
      <c r="D41" s="16">
        <v>1.0</v>
      </c>
      <c r="E41" s="17">
        <f t="shared" si="1"/>
        <v>9</v>
      </c>
      <c r="F41" s="16">
        <v>6.0</v>
      </c>
      <c r="G41" s="16">
        <v>1.5</v>
      </c>
      <c r="H41" s="17">
        <f t="shared" si="2"/>
        <v>4.5</v>
      </c>
      <c r="I41" s="16">
        <v>5.0</v>
      </c>
      <c r="J41" s="16">
        <v>0.0</v>
      </c>
      <c r="K41" s="17">
        <f t="shared" si="3"/>
        <v>5</v>
      </c>
      <c r="L41" s="19" t="s">
        <v>104</v>
      </c>
    </row>
    <row r="42" ht="14.25" customHeight="1">
      <c r="A42" s="15" t="s">
        <v>102</v>
      </c>
      <c r="B42" s="15" t="s">
        <v>105</v>
      </c>
      <c r="C42" s="16">
        <v>10.0</v>
      </c>
      <c r="D42" s="16">
        <v>0.0</v>
      </c>
      <c r="E42" s="17">
        <f t="shared" si="1"/>
        <v>10</v>
      </c>
      <c r="F42" s="16">
        <v>6.0</v>
      </c>
      <c r="G42" s="16">
        <v>1.5</v>
      </c>
      <c r="H42" s="17">
        <f t="shared" si="2"/>
        <v>4.5</v>
      </c>
      <c r="I42" s="16">
        <v>5.0</v>
      </c>
      <c r="J42" s="16">
        <v>0.0</v>
      </c>
      <c r="K42" s="17">
        <f t="shared" si="3"/>
        <v>5</v>
      </c>
      <c r="L42" s="19" t="s">
        <v>104</v>
      </c>
    </row>
    <row r="43" ht="14.25" customHeight="1">
      <c r="A43" s="15" t="s">
        <v>106</v>
      </c>
      <c r="B43" s="15" t="s">
        <v>107</v>
      </c>
      <c r="C43" s="16">
        <v>2.0</v>
      </c>
      <c r="D43" s="16">
        <v>0.3</v>
      </c>
      <c r="E43" s="17">
        <f t="shared" si="1"/>
        <v>1.7</v>
      </c>
      <c r="F43" s="16">
        <v>2.0</v>
      </c>
      <c r="G43" s="16">
        <v>0.0</v>
      </c>
      <c r="H43" s="17">
        <f t="shared" si="2"/>
        <v>2</v>
      </c>
      <c r="I43" s="16">
        <v>0.0</v>
      </c>
      <c r="J43" s="16">
        <v>0.0</v>
      </c>
      <c r="K43" s="17">
        <f t="shared" si="3"/>
        <v>0</v>
      </c>
      <c r="L43" s="25" t="s">
        <v>104</v>
      </c>
    </row>
    <row r="44" ht="14.25" customHeight="1">
      <c r="A44" s="15" t="s">
        <v>108</v>
      </c>
      <c r="B44" s="15" t="s">
        <v>109</v>
      </c>
      <c r="C44" s="16">
        <v>3.0</v>
      </c>
      <c r="D44" s="16">
        <v>0.0</v>
      </c>
      <c r="E44" s="17">
        <f t="shared" si="1"/>
        <v>3</v>
      </c>
      <c r="F44" s="16">
        <v>3.0</v>
      </c>
      <c r="G44" s="16">
        <v>0.0</v>
      </c>
      <c r="H44" s="17">
        <f t="shared" si="2"/>
        <v>3</v>
      </c>
      <c r="I44" s="16">
        <v>0.0</v>
      </c>
      <c r="J44" s="16">
        <v>0.0</v>
      </c>
      <c r="K44" s="17">
        <f t="shared" si="3"/>
        <v>0</v>
      </c>
      <c r="L44" s="27"/>
    </row>
    <row r="45" ht="14.25" customHeight="1">
      <c r="A45" s="15" t="s">
        <v>108</v>
      </c>
      <c r="B45" s="15" t="s">
        <v>110</v>
      </c>
      <c r="C45" s="16">
        <v>6.0</v>
      </c>
      <c r="D45" s="16">
        <v>5.3</v>
      </c>
      <c r="E45" s="17">
        <f t="shared" si="1"/>
        <v>0.7</v>
      </c>
      <c r="F45" s="16">
        <v>6.0</v>
      </c>
      <c r="G45" s="16">
        <v>1.0</v>
      </c>
      <c r="H45" s="17">
        <f t="shared" si="2"/>
        <v>5</v>
      </c>
      <c r="I45" s="16">
        <v>0.0</v>
      </c>
      <c r="J45" s="16">
        <v>0.0</v>
      </c>
      <c r="K45" s="17">
        <f t="shared" si="3"/>
        <v>0</v>
      </c>
      <c r="L45" s="27"/>
    </row>
    <row r="46" ht="14.25" customHeight="1">
      <c r="A46" s="28" t="s">
        <v>111</v>
      </c>
      <c r="B46" s="8"/>
      <c r="C46" s="29">
        <f t="shared" ref="C46:K46" si="4">SUM(C3:C45)</f>
        <v>366</v>
      </c>
      <c r="D46" s="29">
        <f t="shared" si="4"/>
        <v>58.3</v>
      </c>
      <c r="E46" s="17">
        <f t="shared" si="4"/>
        <v>307.7</v>
      </c>
      <c r="F46" s="29">
        <f t="shared" si="4"/>
        <v>181</v>
      </c>
      <c r="G46" s="29">
        <f t="shared" si="4"/>
        <v>13.5</v>
      </c>
      <c r="H46" s="29">
        <f t="shared" si="4"/>
        <v>167.5</v>
      </c>
      <c r="I46" s="29">
        <f t="shared" si="4"/>
        <v>295</v>
      </c>
      <c r="J46" s="29">
        <f t="shared" si="4"/>
        <v>97</v>
      </c>
      <c r="K46" s="29">
        <f t="shared" si="4"/>
        <v>198</v>
      </c>
      <c r="L46" s="30"/>
    </row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B1"/>
    <mergeCell ref="C1:E1"/>
    <mergeCell ref="F1:H1"/>
    <mergeCell ref="I1:K1"/>
    <mergeCell ref="A46:B46"/>
  </mergeCells>
  <conditionalFormatting sqref="E1:E1000">
    <cfRule type="cellIs" dxfId="0" priority="1" operator="lessThan">
      <formula>0</formula>
    </cfRule>
  </conditionalFormatting>
  <conditionalFormatting sqref="H1:H1000">
    <cfRule type="cellIs" dxfId="0" priority="2" operator="lessThan">
      <formula>0</formula>
    </cfRule>
  </conditionalFormatting>
  <conditionalFormatting sqref="K1:K1000">
    <cfRule type="cellIs" dxfId="0" priority="3" operator="less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2025-09-16T20:37:30Z</dcterms:created>
  <dc:creator>Carolina Roa</dc:creator>
</cp:coreProperties>
</file>